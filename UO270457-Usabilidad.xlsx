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iego\Documents\GitHub\sew-25-26\"/>
    </mc:Choice>
  </mc:AlternateContent>
  <xr:revisionPtr revIDLastSave="0" documentId="13_ncr:1_{857F16DA-D926-4B21-81A8-D4E3127D8540}" xr6:coauthVersionLast="47" xr6:coauthVersionMax="47" xr10:uidLastSave="{00000000-0000-0000-0000-000000000000}"/>
  <bookViews>
    <workbookView xWindow="-120" yWindow="-120" windowWidth="29040" windowHeight="15720" activeTab="2" xr2:uid="{00000000-000D-0000-FFFF-FFFF00000000}"/>
  </bookViews>
  <sheets>
    <sheet name="Usuarios" sheetId="2" r:id="rId1"/>
    <sheet name="Test" sheetId="1" r:id="rId2"/>
    <sheet name="Analisis" sheetId="4" r:id="rId3"/>
    <sheet name="Observacione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4" l="1" a="1"/>
  <c r="H41" i="4" s="1"/>
  <c r="F41" i="4" a="1"/>
  <c r="F41" i="4" s="1"/>
  <c r="D41" i="4" a="1"/>
  <c r="D41" i="4" s="1"/>
  <c r="B41" i="4" a="1"/>
  <c r="B41" i="4" s="1"/>
  <c r="I44" i="4"/>
  <c r="I45" i="4"/>
  <c r="G40" i="4"/>
  <c r="E40" i="4"/>
  <c r="C40" i="4"/>
  <c r="F40" i="4"/>
  <c r="D40" i="4"/>
  <c r="B40" i="4"/>
  <c r="H40" i="4" s="1"/>
  <c r="H24" i="4"/>
  <c r="H23" i="4"/>
  <c r="E24" i="4"/>
  <c r="E23" i="4"/>
  <c r="I23" i="4"/>
  <c r="F23" i="4"/>
  <c r="F24" i="4"/>
  <c r="I24" i="4"/>
  <c r="C24" i="4"/>
  <c r="C23" i="4"/>
  <c r="H22" i="4"/>
  <c r="E22" i="4"/>
  <c r="F22" i="4"/>
  <c r="G22" i="4" s="1"/>
  <c r="I22" i="4"/>
  <c r="C22" i="4"/>
  <c r="B24" i="4"/>
  <c r="B23" i="4"/>
  <c r="D23" i="4" s="1"/>
  <c r="B22" i="4"/>
  <c r="G4" i="4"/>
  <c r="G3" i="4"/>
  <c r="G2" i="4"/>
  <c r="E2" i="4"/>
  <c r="C4" i="4"/>
  <c r="D4" i="4"/>
  <c r="E4" i="4"/>
  <c r="C3" i="4"/>
  <c r="D3" i="4"/>
  <c r="E3" i="4"/>
  <c r="C2" i="4"/>
  <c r="D2" i="4"/>
  <c r="B4" i="4"/>
  <c r="B3" i="4"/>
  <c r="B2" i="4"/>
  <c r="I40" i="4" l="1"/>
  <c r="D22" i="4"/>
  <c r="D24" i="4"/>
  <c r="J23" i="4"/>
  <c r="G23" i="4"/>
  <c r="J22" i="4"/>
  <c r="G24" i="4"/>
  <c r="J24" i="4"/>
  <c r="K22" i="4"/>
  <c r="K23" i="4"/>
  <c r="F4" i="4"/>
  <c r="E25" i="4"/>
  <c r="F3" i="4"/>
  <c r="L23" i="4"/>
  <c r="D5" i="4"/>
  <c r="C5" i="4"/>
  <c r="B25" i="4"/>
  <c r="E5" i="4"/>
  <c r="B5" i="4"/>
  <c r="K24" i="4"/>
  <c r="G5" i="4"/>
  <c r="F2" i="4"/>
  <c r="L22" i="4"/>
  <c r="H25" i="4"/>
  <c r="J25" i="4" s="1"/>
  <c r="L24" i="4"/>
  <c r="I25" i="4"/>
  <c r="C25" i="4"/>
  <c r="F25" i="4"/>
  <c r="M22" i="4" l="1"/>
  <c r="D25" i="4"/>
  <c r="G25" i="4"/>
  <c r="M24" i="4"/>
  <c r="M23" i="4"/>
  <c r="K25" i="4"/>
  <c r="F5" i="4"/>
  <c r="L25" i="4"/>
  <c r="M25"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<sst xmlns="http://schemas.openxmlformats.org/spreadsheetml/2006/main" count="128" uniqueCount="100">
  <si>
    <t>ID</t>
  </si>
  <si>
    <t>Profesión</t>
  </si>
  <si>
    <t>Edad</t>
  </si>
  <si>
    <t>Genero</t>
  </si>
  <si>
    <t>Pericia Informática</t>
  </si>
  <si>
    <t>ID Usuario</t>
  </si>
  <si>
    <t>Comentario</t>
  </si>
  <si>
    <t>Dispositivo</t>
  </si>
  <si>
    <t>Comentarios del usuario</t>
  </si>
  <si>
    <t>Propuesta de mejora</t>
  </si>
  <si>
    <t>Valoración del usuario</t>
  </si>
  <si>
    <t>Tanda</t>
  </si>
  <si>
    <t>Masculino</t>
  </si>
  <si>
    <t>Femenino</t>
  </si>
  <si>
    <t>Ordenador</t>
  </si>
  <si>
    <t xml:space="preserve">Ejercicio 1 - Puntuación  </t>
  </si>
  <si>
    <t>Pondría que se despliegue un índice o algo similar en algunos apartados como el de "rutas" para encontrar más fácil la información. Indicaría con instrucciones o similar el apartado de reserva.</t>
  </si>
  <si>
    <t>Fácil e intuitiva, aunque la parte de las rutas es algo densa.</t>
  </si>
  <si>
    <t>El usuario se peleó mucho buscando la información de los hitos de las rutas, por lo que contesto mal a la pregunta de la altura. El usuario tambíen tuvo problemas con la reserva, intentó iniciar sesión, luego se dio cuenta de que tenía que registrarse, fue a sus reservas, y finalmente fue a la parte de las Recursos turísticos, donde accecdió a la reserva de la actividad, consulto el presupuesto para 5 personas, y se le borrar el número, vuelve a consultar el presupuesto, y se le vuelve a borrar y no puedo confirmar reserva sin volver a meter el número. Encuentra bien en reservas e indica el resultado.</t>
  </si>
  <si>
    <t>Mucha información util y buena, pero muy dificil de encontrar teniendo que deslizar tanto para abajo</t>
  </si>
  <si>
    <t>Mostrar la información algo mejor estucturada.</t>
  </si>
  <si>
    <t>Conductor Autobus</t>
  </si>
  <si>
    <t>La parte de rutas es enorme y el tema de reservas se ve algo mal.</t>
  </si>
  <si>
    <t>La tabla de la gastronimia, que parezca una tabla de verdad. Ordenar la información de las rutas para que sea más visible. Ser más claro con los botones del registro, queda raro un texto con enlace.</t>
  </si>
  <si>
    <t>Teleoperadora</t>
  </si>
  <si>
    <t>El usuario va poco a poco, y encuentra las cosas que se le piden sin mayor dificultad. Se atasca un poco en la parte de registro, pues intenta hacer una reserva sin estar registrado antes (Ver recursos &gt; Inicio Sesión &gt; Registro &gt; Inicio Sesión &gt; Ver Recursos &gt; Reserva &gt; Sus reservas). Son muchos pasos para una tarea que debería de ser más facil.</t>
  </si>
  <si>
    <t>El usuario no para de preguntar a lo largo de las pruebas, se le recuerda que no se puede interactual con el, y que lea y haga lo que se le pida. El usuario tiene problemas para encontrar la información en las rutas, aunque sorprendentemente, encuentra rápido y bien la información de la tarea 2, mientras que en la tanda 1, se le dificulta. No se ve al usuario cómodo, no es capaz de contestar a ciertas preguntas del cuestionario y responde al azar, se detecta esto en rutas principalmente y en la tanda 3, la cual avandona quejandose de que no quiere iniciar sesión indicando sus datos personales, y que no le funciona. El usuario intenta iniciar sesión sin registrarse, accediendo a la paginas de recursos turisticos y al inicio de sesión, en ningun momento entrar en la vista de registro.</t>
  </si>
  <si>
    <t>Estudiante - Construcciones Metalicas</t>
  </si>
  <si>
    <t>Estudiante - Instalaciones Electricas</t>
  </si>
  <si>
    <t>Estudiante - Enfermeria</t>
  </si>
  <si>
    <t>Estudiante - Ing. Infor</t>
  </si>
  <si>
    <t>Pagina intuitiva, util y facil de buscar la información.</t>
  </si>
  <si>
    <t>No ve cambios de mejora</t>
  </si>
  <si>
    <t>El color de la pagina no le convence del todo.</t>
  </si>
  <si>
    <t>Que el texto no sea tan plano, se nota mucho en las rutas.</t>
  </si>
  <si>
    <t>Este usuario tiene TDAH, viendo que tuvo problemas para encontrar en la primera tarea la respuesta de la pregunta 4 de sacar el productor de la tabla. Al finalizar la prueba con todo aciertos menos en esa, se le indica que revise bien la página, se lo toma con algo más de calma, y saca la respues, aunque esto no se tuvo en cuenta para las mediciones o resultados. En la tarea 2, pasa varias veces por el mismo sitio, hasta que se da cuenta de que era eso, y se llama insulta por no fijarse, pues se veía facilmente bajo su punto de vista. En la ultima actividad, el usuario fue directo a iniciar sesión, le dió fallo y entonces va a registrarse. Cuando termina de registrarse, consulta recursos, y realiza la reserva despues de consultar el presupuesto.</t>
  </si>
  <si>
    <t>Este usuario no ha tenido problemas para nada, todo lo ha resuelto con rapidez, se atascó solamente en la primera pregunta del juego y luego a la hora de hacer las reservas, donde va directamente a ver los recursos, se le indica iniciar sesión, y cuando le sale la vista de registro, se asusta, vuelve atrás, y vuelve a entrar. Ve que está bien, realiza el registro y finaliza la reserva normal, solicitando primero el presupuesto.</t>
  </si>
  <si>
    <t>Carpintero</t>
  </si>
  <si>
    <t>Se ve bien y se maneja sin problemas, lo unico que costó fue reservar una activcidad, que no me dejaba porque nio había plazas y no se notificaba bien.</t>
  </si>
  <si>
    <t>Paro - Grado Sup. Infor</t>
  </si>
  <si>
    <t>Lo unico que me costó saber fue que era un desplegable en la rutas</t>
  </si>
  <si>
    <t>Nada a mejorar</t>
  </si>
  <si>
    <t>No es una pagina muy intuitiva. No sabes muy bien cuando has realizado una acción y cuando no. La búsqueda de información de las rutas es tedioso.</t>
  </si>
  <si>
    <t>Como mejora para las rutas, dejarlas por separado por enlaces. Que el registro te inicie la sesión.</t>
  </si>
  <si>
    <t xml:space="preserve">Camarera </t>
  </si>
  <si>
    <t>Está conforme con la web, es facil e intuitiva, y se ven bien las cosas.</t>
  </si>
  <si>
    <t>Este usuario ya hizo más test para la evaluación continua, el comentario de este usuario ha sido que le ha resultado más facil encotnrar toda la información y navegar por la web. En la primera vez que se le llamó, era la primera tanda del proyecto, por lo que es normal que este usuario note que esta web está mejor programada que la anterior, y que tiene un mayor sentido lógico. En la primer tarea no se obserbó ninguna anomalia, el usuario poco a poco saco todo sin problema, si que es verdad que en la actividad 2, el usuario se atascó a la hora de encontrar la ruta que se le indicaba en la tarea, pero una vez que se dió cuenta, dijo que no se había fijado pero que estaba facil de ver. En la ultima tarea, procedimientos limpios sin errores.</t>
  </si>
  <si>
    <t>Este usurio respondió sin problemas a las cuestiones de la primera y segunda actividad. En la ultima en cambio, tuvo problemas porque no se daba cuenta de que no podía reservar 3 plazas cuando el maximo disponible era de 2, por lo que no veía la alerta y se queda atascado.</t>
  </si>
  <si>
    <t>Este usuario, al estar en opera, el navegador le dificultó identificar que las rutas se cogían a partir de un desplegable, pero una vez que detectó eso, poco a poco fue sacando las cosas. Se observa que es una persona tambien con TDHA, los resultados se obtienen de apoco, pero sin mucho problema en cuanto a buscar la información.</t>
  </si>
  <si>
    <t>Estudiante - Ing. Computación</t>
  </si>
  <si>
    <t xml:space="preserve">Mejorar la notificación de plazas agotadas o limitarla. Intentar cambiar un poco los colores, hay pocos y en rutas se vería mejor con más colores. </t>
  </si>
  <si>
    <t>Si una ruta tiene 0 plazas sigue apareciendo, evitar eso. Colores más bonitos de diseño.</t>
  </si>
  <si>
    <t>Facil y practica, pagina intuitiva, solamente que hay momentos en los que la pagina tiene el contenido muy pequeño. Lo colores no combinan. Está muy bien el tener la opcion de registrarse cuando estás dentro de los recursos para reservar, evitas pulsaciones innecesarias.</t>
  </si>
  <si>
    <t>Militar</t>
  </si>
  <si>
    <t xml:space="preserve">Es intuitiva y esta bien organizada, pero tiene un estilo visual algo simple y anticuado, propio de paginas web antiguas. </t>
  </si>
  <si>
    <t>Mejorar el diseño y poner las rutas en un desplegable del nav de rutas.</t>
  </si>
  <si>
    <t>Estudiante - Anatomia y Laboratorio</t>
  </si>
  <si>
    <t>Se encuentra facil toda la información, está a la vista.</t>
  </si>
  <si>
    <t>El usuario se desenvuelve bien con las actividades, procesos rápidos, claros. La unica observación es que se dio cuenta de un fallo en el que se puede intentar reservar una actividad con 0 plazas reservables.</t>
  </si>
  <si>
    <t>El usuario realiza las tareas con calma, lee en voz alta lo que pasa por su cabeza. La primera tarea la realiza con calma paso a paso, pero en la parte de los hitos y de las rutas se lia, no sabe lo que es un hito realmente, aunque al final se da cuenta y  responde. El fallo que tiene en el cuestionario es porque no sabía comparar la altura de los hitos de la ruta. En la ultima prueba, el usuario tarda porque quiere mirar las actividades que hay y quiere saber cual le gustaría mas, pero se maneja con agilidad por el sitio web.</t>
  </si>
  <si>
    <t>Esta persona está nervisosa al principio, le cuesta arrancar a hacer las tareas del ejercicio 1, pero cuando coge confianza, realiza las tareas con velocidad, se acostumbra a la página. Por lo demás, no hay novedades, al igual que el usuario 11, se para a mirar las actividades que hay para reservar la actividad que más le gusta.</t>
  </si>
  <si>
    <t>El diseño podría mejorase, hacerlo más elegante y usar más colores pastel.</t>
  </si>
  <si>
    <t>Tablet</t>
  </si>
  <si>
    <t>Movil</t>
  </si>
  <si>
    <t xml:space="preserve"> (Abandono) 117</t>
  </si>
  <si>
    <t>Ejercicio 3 - Tiempo (s)</t>
  </si>
  <si>
    <t>Ejercici 2 - Tiempo (s)</t>
  </si>
  <si>
    <t>Ejercicio 1 - Tiempo (s)</t>
  </si>
  <si>
    <t>Tarea 1</t>
  </si>
  <si>
    <t>Tarea 2</t>
  </si>
  <si>
    <t>Tarea 3</t>
  </si>
  <si>
    <t>Tiempo total medio</t>
  </si>
  <si>
    <t>Valoración media</t>
  </si>
  <si>
    <t>Global</t>
  </si>
  <si>
    <t>Media aciertos</t>
  </si>
  <si>
    <t>Media Usuarios - T1</t>
  </si>
  <si>
    <t>Media Usuarios - T2</t>
  </si>
  <si>
    <t>Programador - T1</t>
  </si>
  <si>
    <t>Programador - T2</t>
  </si>
  <si>
    <t>Programador - T3</t>
  </si>
  <si>
    <t>Media Usuarios - T3</t>
  </si>
  <si>
    <t>T1- Fem</t>
  </si>
  <si>
    <t>T3- Fem</t>
  </si>
  <si>
    <t>T2- Fem</t>
  </si>
  <si>
    <t>T3- Mas</t>
  </si>
  <si>
    <t>T2- Mas</t>
  </si>
  <si>
    <t>Programador - Total</t>
  </si>
  <si>
    <t>Media Usuarios - Total</t>
  </si>
  <si>
    <t>Similitud - Total</t>
  </si>
  <si>
    <t>Similitud - T3</t>
  </si>
  <si>
    <t>Similitud - T2</t>
  </si>
  <si>
    <t>Similitud - T1</t>
  </si>
  <si>
    <t>Total- Fem</t>
  </si>
  <si>
    <t>Total- Mas</t>
  </si>
  <si>
    <t>T1- Mas</t>
  </si>
  <si>
    <t>Exitos</t>
  </si>
  <si>
    <t>Usuarios</t>
  </si>
  <si>
    <t>Generos</t>
  </si>
  <si>
    <t>Porcentajes Éxito</t>
  </si>
  <si>
    <t>El usuario va realizando las tareas con algo de cansancio, pues la parte de las rutas le cuesta por el tema tener que bajar la pantalla en busca de la información. Igualmente, ese usuario está familiarizado con los procesos seguros, pues en la tarea 3, lo primero que hace, despues de fijarse un poco, es acceder al registro, y una vez registrado, realiza la reserva de la actividad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</si>
</sst>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5" x14ac:knownFonts="1">
    <font>
      <sz val="11"/>
      <color theme="1"/>
      <name val="Aptos Narrow"/>
      <family val="2"/>
      <scheme val="minor"/>
    </font>
    <font>
      <sz val="11"/>
      <color rgb="FFC00000"/>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39997558519241921"/>
        <bgColor indexed="64"/>
      </patternFill>
    </fill>
    <fill>
      <patternFill patternType="solid">
        <fgColor theme="3" tint="0.499984740745262"/>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46">
    <xf numFmtId="0" fontId="0" fillId="0" borderId="0" xfId="0"/>
    <xf numFmtId="0" fontId="0" fillId="0" borderId="0" xfId="0" applyAlignment="1">
      <alignment wrapText="1"/>
    </xf>
    <xf numFmtId="0" fontId="0" fillId="0" borderId="0" xfId="0" applyAlignment="1">
      <alignment horizontal="center" vertical="center" wrapText="1"/>
    </xf>
    <xf numFmtId="164" fontId="1" fillId="0" borderId="0" xfId="0" applyNumberFormat="1" applyFont="1" applyAlignment="1">
      <alignment horizontal="right"/>
    </xf>
    <xf numFmtId="0" fontId="0" fillId="0" borderId="0" xfId="0" applyAlignment="1">
      <alignment horizontal="center"/>
    </xf>
    <xf numFmtId="165" fontId="0" fillId="0" borderId="0" xfId="0" applyNumberFormat="1"/>
    <xf numFmtId="1" fontId="0" fillId="0" borderId="0" xfId="0" applyNumberFormat="1"/>
    <xf numFmtId="0" fontId="0" fillId="0" borderId="4" xfId="0" applyBorder="1"/>
    <xf numFmtId="0" fontId="0" fillId="0" borderId="2" xfId="0" applyBorder="1"/>
    <xf numFmtId="0" fontId="0" fillId="0" borderId="3" xfId="0" applyBorder="1"/>
    <xf numFmtId="0" fontId="0" fillId="0" borderId="5" xfId="0" applyBorder="1"/>
    <xf numFmtId="0" fontId="0" fillId="0" borderId="6" xfId="0" applyBorder="1"/>
    <xf numFmtId="0" fontId="0" fillId="0" borderId="1" xfId="0" applyBorder="1"/>
    <xf numFmtId="0" fontId="0" fillId="0" borderId="7" xfId="0" applyBorder="1"/>
    <xf numFmtId="0" fontId="0" fillId="0" borderId="8" xfId="0" applyBorder="1" applyAlignment="1">
      <alignment horizontal="center"/>
    </xf>
    <xf numFmtId="0" fontId="0" fillId="0" borderId="4" xfId="0" applyBorder="1" applyAlignment="1">
      <alignment horizontal="center"/>
    </xf>
    <xf numFmtId="1" fontId="0" fillId="0" borderId="10" xfId="0" applyNumberFormat="1" applyBorder="1"/>
    <xf numFmtId="1" fontId="0" fillId="0" borderId="11" xfId="0" applyNumberFormat="1" applyBorder="1"/>
    <xf numFmtId="1" fontId="0" fillId="0" borderId="12" xfId="0" applyNumberFormat="1" applyBorder="1"/>
    <xf numFmtId="1" fontId="0" fillId="0" borderId="13" xfId="0" applyNumberFormat="1" applyBorder="1"/>
    <xf numFmtId="1" fontId="0" fillId="0" borderId="4" xfId="0" applyNumberFormat="1" applyBorder="1"/>
    <xf numFmtId="1" fontId="0" fillId="0" borderId="17" xfId="0" applyNumberFormat="1" applyBorder="1"/>
    <xf numFmtId="1" fontId="0" fillId="0" borderId="20" xfId="0" applyNumberFormat="1" applyBorder="1"/>
    <xf numFmtId="1" fontId="0" fillId="0" borderId="8" xfId="0" applyNumberFormat="1" applyBorder="1"/>
    <xf numFmtId="1" fontId="0" fillId="0" borderId="21" xfId="0" applyNumberFormat="1" applyBorder="1"/>
    <xf numFmtId="1" fontId="0" fillId="0" borderId="15" xfId="0" applyNumberFormat="1" applyBorder="1"/>
    <xf numFmtId="1" fontId="0" fillId="0" borderId="14" xfId="0" applyNumberFormat="1" applyBorder="1"/>
    <xf numFmtId="1" fontId="0" fillId="0" borderId="22" xfId="0" applyNumberFormat="1" applyBorder="1"/>
    <xf numFmtId="1" fontId="0" fillId="0" borderId="24" xfId="0" applyNumberFormat="1" applyBorder="1"/>
    <xf numFmtId="1" fontId="0" fillId="0" borderId="25" xfId="0" applyNumberFormat="1" applyBorder="1"/>
    <xf numFmtId="1" fontId="0" fillId="0" borderId="27" xfId="0" applyNumberFormat="1" applyBorder="1"/>
    <xf numFmtId="0" fontId="0" fillId="0" borderId="28" xfId="0" applyBorder="1"/>
    <xf numFmtId="9" fontId="0" fillId="0" borderId="18" xfId="1" applyFont="1" applyBorder="1"/>
    <xf numFmtId="9" fontId="0" fillId="0" borderId="16" xfId="1" applyFont="1" applyBorder="1"/>
    <xf numFmtId="9" fontId="0" fillId="0" borderId="4" xfId="1" applyFont="1" applyBorder="1"/>
    <xf numFmtId="9" fontId="0" fillId="0" borderId="19" xfId="1" applyFont="1" applyBorder="1"/>
    <xf numFmtId="9" fontId="0" fillId="0" borderId="26" xfId="1" applyFont="1" applyBorder="1"/>
    <xf numFmtId="9" fontId="0" fillId="0" borderId="23" xfId="1" applyFont="1" applyBorder="1"/>
    <xf numFmtId="9" fontId="0" fillId="0" borderId="0" xfId="1" applyFont="1"/>
    <xf numFmtId="0" fontId="0" fillId="0" borderId="9" xfId="0" applyBorder="1" applyAlignment="1">
      <alignment horizontal="center"/>
    </xf>
    <xf numFmtId="1" fontId="0" fillId="2" borderId="4" xfId="0" applyNumberFormat="1" applyFill="1" applyBorder="1"/>
    <xf numFmtId="1" fontId="0" fillId="2" borderId="15" xfId="0" applyNumberFormat="1" applyFill="1" applyBorder="1"/>
    <xf numFmtId="9" fontId="4" fillId="3" borderId="5" xfId="1" applyFont="1" applyFill="1" applyBorder="1" applyAlignment="1">
      <alignment horizontal="center"/>
    </xf>
    <xf numFmtId="9" fontId="4" fillId="4" borderId="6" xfId="1" applyFont="1" applyFill="1" applyBorder="1" applyAlignment="1">
      <alignment horizontal="center"/>
    </xf>
    <xf numFmtId="9" fontId="4" fillId="3" borderId="6" xfId="1" applyFont="1" applyFill="1" applyBorder="1" applyAlignment="1">
      <alignment horizontal="center"/>
    </xf>
    <xf numFmtId="9" fontId="4" fillId="4" borderId="5" xfId="1" applyFont="1" applyFill="1" applyBorder="1" applyAlignment="1">
      <alignment horizontal="center"/>
    </xf>
  </cellXfs>
  <cellStyles count="2">
    <cellStyle name="Normal" xfId="0" builtinId="0"/>
    <cellStyle name="Porcentaje" xfId="1" builtinId="5"/>
  </cellStyles>
  <dxfs count="38">
    <dxf>
      <numFmt numFmtId="1" formatCode="0"/>
      <fill>
        <patternFill patternType="solid">
          <fgColor indexed="64"/>
          <bgColor theme="9" tint="0.59999389629810485"/>
        </patternFill>
      </fill>
      <border diagonalUp="0" diagonalDown="0" outline="0">
        <left/>
        <right style="medium">
          <color indexed="64"/>
        </right>
        <top/>
        <bottom/>
      </border>
    </dxf>
    <dxf>
      <numFmt numFmtId="1" formatCode="0"/>
      <border diagonalUp="0" diagonalDown="0" outline="0">
        <left style="medium">
          <color indexed="64"/>
        </left>
        <right style="thin">
          <color indexed="64"/>
        </right>
        <top/>
        <bottom/>
      </border>
    </dxf>
    <dxf>
      <numFmt numFmtId="1" formatCode="0"/>
      <fill>
        <patternFill patternType="solid">
          <fgColor indexed="64"/>
          <bgColor theme="9" tint="0.59999389629810485"/>
        </patternFill>
      </fill>
      <border diagonalUp="0" diagonalDown="0" outline="0">
        <left/>
        <right style="medium">
          <color indexed="64"/>
        </right>
        <top/>
        <bottom/>
      </border>
    </dxf>
    <dxf>
      <numFmt numFmtId="1" formatCode="0"/>
      <border diagonalUp="0" diagonalDown="0" outline="0">
        <left style="medium">
          <color indexed="64"/>
        </left>
        <right style="thin">
          <color indexed="64"/>
        </right>
        <top/>
        <bottom/>
      </border>
    </dxf>
    <dxf>
      <numFmt numFmtId="1" formatCode="0"/>
      <fill>
        <patternFill patternType="solid">
          <fgColor indexed="64"/>
          <bgColor theme="9" tint="0.59999389629810485"/>
        </patternFill>
      </fill>
      <border diagonalUp="0" diagonalDown="0" outline="0">
        <left style="medium">
          <color indexed="64"/>
        </left>
        <right/>
        <top/>
        <bottom/>
      </border>
    </dxf>
    <dxf>
      <numFmt numFmtId="1" formatCode="0"/>
      <border diagonalUp="0" diagonalDown="0" outline="0">
        <left/>
        <right style="medium">
          <color indexed="64"/>
        </right>
        <top/>
        <bottom/>
      </border>
    </dxf>
    <dxf>
      <numFmt numFmtId="1" formatCode="0"/>
      <border diagonalUp="0" diagonalDown="0" outline="0">
        <left/>
        <right style="medium">
          <color indexed="64"/>
        </right>
        <top/>
        <bottom/>
      </border>
    </dxf>
    <dxf>
      <numFmt numFmtId="1" formatCode="0"/>
      <fill>
        <patternFill patternType="solid">
          <fgColor indexed="64"/>
          <bgColor theme="9" tint="0.59999389629810485"/>
        </patternFill>
      </fill>
      <border diagonalUp="0" diagonalDown="0" outline="0">
        <left style="medium">
          <color indexed="64"/>
        </left>
        <right/>
        <top/>
        <bottom/>
      </border>
    </dxf>
    <dxf>
      <border diagonalUp="0" diagonalDown="0" outline="0">
        <left style="medium">
          <color indexed="64"/>
        </left>
        <right style="medium">
          <color indexed="64"/>
        </right>
      </border>
    </dxf>
    <dxf>
      <fill>
        <patternFill>
          <bgColor theme="8" tint="0.59996337778862885"/>
        </patternFill>
      </fill>
    </dxf>
    <dxf>
      <fill>
        <patternFill>
          <bgColor theme="8" tint="0.59996337778862885"/>
        </patternFill>
      </fill>
    </dxf>
    <dxf>
      <fill>
        <patternFill>
          <bgColor theme="8" tint="0.59996337778862885"/>
        </patternFill>
      </fill>
    </dxf>
    <dxf>
      <numFmt numFmtId="0" formatCode="General"/>
    </dxf>
    <dxf>
      <border>
        <bottom style="medium">
          <color indexed="64"/>
        </bottom>
      </border>
    </dxf>
    <dxf>
      <border diagonalUp="0" diagonalDown="0">
        <left style="medium">
          <color indexed="64"/>
        </left>
        <right style="medium">
          <color indexed="64"/>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border diagonalUp="0" diagonalDown="0">
        <left style="medium">
          <color indexed="64"/>
        </left>
        <right style="medium">
          <color indexed="64"/>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top/>
        <bottom/>
        <vertical/>
        <horizontal/>
      </border>
    </dxf>
    <dxf>
      <numFmt numFmtId="13" formatCode="0%"/>
      <border diagonalUp="0" diagonalDown="0">
        <left/>
        <right/>
        <top style="thin">
          <color indexed="64"/>
        </top>
        <bottom style="thin">
          <color indexed="64"/>
        </bottom>
        <vertical/>
        <horizontal/>
      </border>
    </dxf>
    <dxf>
      <border diagonalUp="0" diagonalDown="0">
        <left/>
        <right style="medium">
          <color indexed="64"/>
        </right>
        <top/>
        <bottom/>
        <vertical/>
        <horizontal/>
      </border>
    </dxf>
    <dxf>
      <alignment horizontal="center" vertical="bottom" textRotation="0" wrapText="0" indent="0" justifyLastLine="0" shrinkToFit="0" readingOrder="0"/>
      <border diagonalUp="0" diagonalDown="0" outline="0">
        <left style="medium">
          <color indexed="64"/>
        </left>
        <right style="medium">
          <color indexed="64"/>
        </right>
      </border>
    </dxf>
    <dxf>
      <border>
        <bottom style="medium">
          <color indexed="64"/>
        </bottom>
      </border>
    </dxf>
    <dxf>
      <numFmt numFmtId="165" formatCode="0.0"/>
    </dxf>
    <dxf>
      <numFmt numFmtId="1" formatCode="0"/>
    </dxf>
    <dxf>
      <numFmt numFmtId="1" formatCode="0"/>
    </dxf>
    <dxf>
      <numFmt numFmtId="1" formatCode="0"/>
    </dxf>
    <dxf>
      <numFmt numFmtId="165" formatCode="0.0"/>
    </dxf>
    <dxf>
      <numFmt numFmtId="1" formatCode="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D67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Comparación tandas</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/media </a:t>
            </a:r>
            <a:r>
              <a:rPr lang="en-US"/>
              <a:t>- Tarea 2</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2"/>
          <c:order val="2"/>
          <c:tx>
            <c:strRef>
              <c:f>Analisis!$D$1</c:f>
              <c:strCache>
                <c:ptCount val="1"/>
                <c:pt idx="0">
                  <c:v>Tarea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Analisis!$A$2:$A$5</c:f>
              <c:strCache>
                <c:ptCount val="4"/>
                <c:pt idx="0">
                  <c:v>1</c:v>
                </c:pt>
                <c:pt idx="1">
                  <c:v>2</c:v>
                </c:pt>
                <c:pt idx="2">
                  <c:v>3</c:v>
                </c:pt>
                <c:pt idx="3">
                  <c:v>Global</c:v>
                </c:pt>
              </c:strCache>
            </c:strRef>
          </c:cat>
          <c:val>
            <c:numRef>
              <c:f>Analisis!$D$2:$D$5</c:f>
              <c:numCache>
                <c:formatCode>0</c:formatCode>
                <c:ptCount val="4"/>
                <c:pt idx="0">
                  <c:v>29.5</c:v>
                </c:pt>
                <c:pt idx="1">
                  <c:v>47.75</c:v>
                </c:pt>
                <c:pt idx="2">
                  <c:v>31.25</c:v>
                </c:pt>
                <c:pt idx="3">
                  <c:v>36.166666666666664</c:v>
                </c:pt>
              </c:numCache>
            </c:numRef>
          </c:val>
          <c:extLst>
            <c:ext xmlns:c16="http://schemas.microsoft.com/office/drawing/2014/chart" uri="{C3380CC4-5D6E-409C-BE32-E72D297353CC}">
              <c16:uniqueId val="{00000002-E39D-4F2E-982E-CECCF44326D1}"/>
            </c:ext>
          </c:extLst>
        </c:ser>
        <c:dLbls>
          <c:dLblPos val="inEnd"/>
          <c:showLegendKey val="0"/>
          <c:showVal val="1"/>
          <c:showCatName val="0"/>
          <c:showSerName val="0"/>
          <c:showPercent val="0"/>
          <c:showBubbleSize val="0"/>
        </c:dLbls>
        <c:gapWidth val="100"/>
        <c:overlap val="-24"/>
        <c:axId val="1286951184"/>
        <c:axId val="1286950224"/>
        <c:extLst>
          <c:ext xmlns:c15="http://schemas.microsoft.com/office/drawing/2012/chart" uri="{02D57815-91ED-43cb-92C2-25804820EDAC}">
            <c15:filteredBarSeries>
              <c15:ser>
                <c:idx val="0"/>
                <c:order val="0"/>
                <c:tx>
                  <c:strRef>
                    <c:extLst>
                      <c:ext uri="{02D57815-91ED-43cb-92C2-25804820EDAC}">
                        <c15:formulaRef>
                          <c15:sqref>Analisis!$B$1</c15:sqref>
                        </c15:formulaRef>
                      </c:ext>
                    </c:extLst>
                    <c:strCache>
                      <c:ptCount val="1"/>
                      <c:pt idx="0">
                        <c:v>Tarea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uri="{02D57815-91ED-43cb-92C2-25804820EDAC}">
                        <c15:formulaRef>
                          <c15:sqref>Analisis!$A$2:$A$5</c15:sqref>
                        </c15:formulaRef>
                      </c:ext>
                    </c:extLst>
                    <c:strCache>
                      <c:ptCount val="4"/>
                      <c:pt idx="0">
                        <c:v>1</c:v>
                      </c:pt>
                      <c:pt idx="1">
                        <c:v>2</c:v>
                      </c:pt>
                      <c:pt idx="2">
                        <c:v>3</c:v>
                      </c:pt>
                      <c:pt idx="3">
                        <c:v>Global</c:v>
                      </c:pt>
                    </c:strCache>
                  </c:strRef>
                </c:cat>
                <c:val>
                  <c:numRef>
                    <c:extLst>
                      <c:ext uri="{02D57815-91ED-43cb-92C2-25804820EDAC}">
                        <c15:formulaRef>
                          <c15:sqref>Analisis!$B$2:$B$5</c15:sqref>
                        </c15:formulaRef>
                      </c:ext>
                    </c:extLst>
                    <c:numCache>
                      <c:formatCode>0</c:formatCode>
                      <c:ptCount val="4"/>
                      <c:pt idx="0">
                        <c:v>256.5</c:v>
                      </c:pt>
                      <c:pt idx="1">
                        <c:v>239.75</c:v>
                      </c:pt>
                      <c:pt idx="2">
                        <c:v>257.5</c:v>
                      </c:pt>
                      <c:pt idx="3">
                        <c:v>251.25</c:v>
                      </c:pt>
                    </c:numCache>
                  </c:numRef>
                </c:val>
                <c:extLst>
                  <c:ext xmlns:c16="http://schemas.microsoft.com/office/drawing/2014/chart" uri="{C3380CC4-5D6E-409C-BE32-E72D297353CC}">
                    <c16:uniqueId val="{00000000-E39D-4F2E-982E-CECCF44326D1}"/>
                  </c:ext>
                </c:extLst>
              </c15:ser>
            </c15:filteredBarSeries>
            <c15:filteredBarSeries>
              <c15:ser>
                <c:idx val="1"/>
                <c:order val="1"/>
                <c:tx>
                  <c:strRef>
                    <c:extLst>
                      <c:ext xmlns:c15="http://schemas.microsoft.com/office/drawing/2012/chart" uri="{02D57815-91ED-43cb-92C2-25804820EDAC}">
                        <c15:formulaRef>
                          <c15:sqref>Analisis!$C$1</c15:sqref>
                        </c15:formulaRef>
                      </c:ext>
                    </c:extLst>
                    <c:strCache>
                      <c:ptCount val="1"/>
                      <c:pt idx="0">
                        <c:v>Media aciertos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Analisis!$C$2:$C$5</c15:sqref>
                        </c15:formulaRef>
                      </c:ext>
                    </c:extLst>
                    <c:numCache>
                      <c:formatCode>0.0</c:formatCode>
                      <c:ptCount val="4"/>
                      <c:pt idx="0">
                        <c:v>9</c:v>
                      </c:pt>
                      <c:pt idx="1">
                        <c:v>9.75</c:v>
                      </c:pt>
                      <c:pt idx="2">
                        <c:v>9.75</c:v>
                      </c:pt>
                      <c:pt idx="3">
                        <c:v>9.5</c:v>
                      </c:pt>
                    </c:numCache>
                  </c:numRef>
                </c:val>
                <c:extLst xmlns:c15="http://schemas.microsoft.com/office/drawing/2012/chart">
                  <c:ext xmlns:c16="http://schemas.microsoft.com/office/drawing/2014/chart" uri="{C3380CC4-5D6E-409C-BE32-E72D297353CC}">
                    <c16:uniqueId val="{00000001-E39D-4F2E-982E-CECCF44326D1}"/>
                  </c:ext>
                </c:extLst>
              </c15:ser>
            </c15:filteredBarSeries>
            <c15:filteredBarSeries>
              <c15:ser>
                <c:idx val="3"/>
                <c:order val="3"/>
                <c:tx>
                  <c:strRef>
                    <c:extLst>
                      <c:ext xmlns:c15="http://schemas.microsoft.com/office/drawing/2012/chart" uri="{02D57815-91ED-43cb-92C2-25804820EDAC}">
                        <c15:formulaRef>
                          <c15:sqref>Analisis!$E$1</c15:sqref>
                        </c15:formulaRef>
                      </c:ext>
                    </c:extLst>
                    <c:strCache>
                      <c:ptCount val="1"/>
                      <c:pt idx="0">
                        <c:v>Tarea 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Analisis!$E$2:$E$5</c15:sqref>
                        </c15:formulaRef>
                      </c:ext>
                    </c:extLst>
                    <c:numCache>
                      <c:formatCode>0</c:formatCode>
                      <c:ptCount val="4"/>
                      <c:pt idx="0">
                        <c:v>221.66666666666666</c:v>
                      </c:pt>
                      <c:pt idx="1">
                        <c:v>80</c:v>
                      </c:pt>
                      <c:pt idx="2">
                        <c:v>118.25</c:v>
                      </c:pt>
                      <c:pt idx="3">
                        <c:v>139.9722222222222</c:v>
                      </c:pt>
                    </c:numCache>
                  </c:numRef>
                </c:val>
                <c:extLst xmlns:c15="http://schemas.microsoft.com/office/drawing/2012/chart">
                  <c:ext xmlns:c16="http://schemas.microsoft.com/office/drawing/2014/chart" uri="{C3380CC4-5D6E-409C-BE32-E72D297353CC}">
                    <c16:uniqueId val="{00000003-E39D-4F2E-982E-CECCF44326D1}"/>
                  </c:ext>
                </c:extLst>
              </c15:ser>
            </c15:filteredBarSeries>
            <c15:filteredBarSeries>
              <c15:ser>
                <c:idx val="4"/>
                <c:order val="4"/>
                <c:tx>
                  <c:strRef>
                    <c:extLst>
                      <c:ext xmlns:c15="http://schemas.microsoft.com/office/drawing/2012/chart" uri="{02D57815-91ED-43cb-92C2-25804820EDAC}">
                        <c15:formulaRef>
                          <c15:sqref>Analisis!$F$1</c15:sqref>
                        </c15:formulaRef>
                      </c:ext>
                    </c:extLst>
                    <c:strCache>
                      <c:ptCount val="1"/>
                      <c:pt idx="0">
                        <c:v>Tiempo total medio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Analisis!$F$2:$F$5</c15:sqref>
                        </c15:formulaRef>
                      </c:ext>
                    </c:extLst>
                    <c:numCache>
                      <c:formatCode>0</c:formatCode>
                      <c:ptCount val="4"/>
                      <c:pt idx="0">
                        <c:v>507.66666666666663</c:v>
                      </c:pt>
                      <c:pt idx="1">
                        <c:v>367.5</c:v>
                      </c:pt>
                      <c:pt idx="2">
                        <c:v>407</c:v>
                      </c:pt>
                      <c:pt idx="3">
                        <c:v>427.38888888888891</c:v>
                      </c:pt>
                    </c:numCache>
                  </c:numRef>
                </c:val>
                <c:extLst xmlns:c15="http://schemas.microsoft.com/office/drawing/2012/chart">
                  <c:ext xmlns:c16="http://schemas.microsoft.com/office/drawing/2014/chart" uri="{C3380CC4-5D6E-409C-BE32-E72D297353CC}">
                    <c16:uniqueId val="{00000004-E39D-4F2E-982E-CECCF44326D1}"/>
                  </c:ext>
                </c:extLst>
              </c15:ser>
            </c15:filteredBarSeries>
            <c15:filteredBarSeries>
              <c15:ser>
                <c:idx val="5"/>
                <c:order val="5"/>
                <c:tx>
                  <c:strRef>
                    <c:extLst>
                      <c:ext xmlns:c15="http://schemas.microsoft.com/office/drawing/2012/chart" uri="{02D57815-91ED-43cb-92C2-25804820EDAC}">
                        <c15:formulaRef>
                          <c15:sqref>Analisis!$G$1</c15:sqref>
                        </c15:formulaRef>
                      </c:ext>
                    </c:extLst>
                    <c:strCache>
                      <c:ptCount val="1"/>
                      <c:pt idx="0">
                        <c:v>Valoración media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Analisis!$G$2:$G$5</c15:sqref>
                        </c15:formulaRef>
                      </c:ext>
                    </c:extLst>
                    <c:numCache>
                      <c:formatCode>0.0</c:formatCode>
                      <c:ptCount val="4"/>
                      <c:pt idx="0">
                        <c:v>5.5</c:v>
                      </c:pt>
                      <c:pt idx="1">
                        <c:v>8</c:v>
                      </c:pt>
                      <c:pt idx="2">
                        <c:v>8.125</c:v>
                      </c:pt>
                      <c:pt idx="3">
                        <c:v>7.208333333333333</c:v>
                      </c:pt>
                    </c:numCache>
                  </c:numRef>
                </c:val>
                <c:extLst xmlns:c15="http://schemas.microsoft.com/office/drawing/2012/chart">
                  <c:ext xmlns:c16="http://schemas.microsoft.com/office/drawing/2014/chart" uri="{C3380CC4-5D6E-409C-BE32-E72D297353CC}">
                    <c16:uniqueId val="{00000005-E39D-4F2E-982E-CECCF44326D1}"/>
                  </c:ext>
                </c:extLst>
              </c15:ser>
            </c15:filteredBarSeries>
          </c:ext>
        </c:extLst>
      </c:barChart>
      <c:catAx>
        <c:axId val="128695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0224"/>
        <c:crosses val="autoZero"/>
        <c:auto val="1"/>
        <c:lblAlgn val="ctr"/>
        <c:lblOffset val="100"/>
        <c:noMultiLvlLbl val="0"/>
      </c:catAx>
      <c:valAx>
        <c:axId val="128695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Comparacion</a:t>
            </a:r>
            <a:r>
              <a:rPr lang="en-US" baseline="0"/>
              <a:t> tandas/media - Tarea 1</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Analisis!$B$1</c:f>
              <c:strCache>
                <c:ptCount val="1"/>
                <c:pt idx="0">
                  <c:v>Tarea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Analisis!$A$2:$A$5</c:f>
              <c:strCache>
                <c:ptCount val="4"/>
                <c:pt idx="0">
                  <c:v>1</c:v>
                </c:pt>
                <c:pt idx="1">
                  <c:v>2</c:v>
                </c:pt>
                <c:pt idx="2">
                  <c:v>3</c:v>
                </c:pt>
                <c:pt idx="3">
                  <c:v>Global</c:v>
                </c:pt>
              </c:strCache>
            </c:strRef>
          </c:cat>
          <c:val>
            <c:numRef>
              <c:f>Analisis!$B$2:$B$5</c:f>
              <c:numCache>
                <c:formatCode>0</c:formatCode>
                <c:ptCount val="4"/>
                <c:pt idx="0">
                  <c:v>256.5</c:v>
                </c:pt>
                <c:pt idx="1">
                  <c:v>239.75</c:v>
                </c:pt>
                <c:pt idx="2">
                  <c:v>257.5</c:v>
                </c:pt>
                <c:pt idx="3">
                  <c:v>251.25</c:v>
                </c:pt>
              </c:numCache>
            </c:numRef>
          </c:val>
          <c:extLst>
            <c:ext xmlns:c16="http://schemas.microsoft.com/office/drawing/2014/chart" uri="{C3380CC4-5D6E-409C-BE32-E72D297353CC}">
              <c16:uniqueId val="{00000001-B462-418B-923D-EAD32ACCD806}"/>
            </c:ext>
          </c:extLst>
        </c:ser>
        <c:dLbls>
          <c:dLblPos val="inEnd"/>
          <c:showLegendKey val="0"/>
          <c:showVal val="1"/>
          <c:showCatName val="0"/>
          <c:showSerName val="0"/>
          <c:showPercent val="0"/>
          <c:showBubbleSize val="0"/>
        </c:dLbls>
        <c:gapWidth val="100"/>
        <c:overlap val="-24"/>
        <c:axId val="1286951184"/>
        <c:axId val="1286950224"/>
        <c:extLst>
          <c:ext xmlns:c15="http://schemas.microsoft.com/office/drawing/2012/chart" uri="{02D57815-91ED-43cb-92C2-25804820EDAC}">
            <c15:filteredBarSeries>
              <c15:ser>
                <c:idx val="1"/>
                <c:order val="1"/>
                <c:tx>
                  <c:strRef>
                    <c:extLst>
                      <c:ext uri="{02D57815-91ED-43cb-92C2-25804820EDAC}">
                        <c15:formulaRef>
                          <c15:sqref>Analisis!$C$1</c15:sqref>
                        </c15:formulaRef>
                      </c:ext>
                    </c:extLst>
                    <c:strCache>
                      <c:ptCount val="1"/>
                      <c:pt idx="0">
                        <c:v>Media aciertos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uri="{02D57815-91ED-43cb-92C2-25804820EDAC}">
                        <c15:formulaRef>
                          <c15:sqref>Analisis!$A$2:$A$5</c15:sqref>
                        </c15:formulaRef>
                      </c:ext>
                    </c:extLst>
                    <c:strCache>
                      <c:ptCount val="4"/>
                      <c:pt idx="0">
                        <c:v>1</c:v>
                      </c:pt>
                      <c:pt idx="1">
                        <c:v>2</c:v>
                      </c:pt>
                      <c:pt idx="2">
                        <c:v>3</c:v>
                      </c:pt>
                      <c:pt idx="3">
                        <c:v>Global</c:v>
                      </c:pt>
                    </c:strCache>
                  </c:strRef>
                </c:cat>
                <c:val>
                  <c:numRef>
                    <c:extLst>
                      <c:ext uri="{02D57815-91ED-43cb-92C2-25804820EDAC}">
                        <c15:formulaRef>
                          <c15:sqref>Analisis!$C$2:$C$5</c15:sqref>
                        </c15:formulaRef>
                      </c:ext>
                    </c:extLst>
                    <c:numCache>
                      <c:formatCode>0.0</c:formatCode>
                      <c:ptCount val="4"/>
                      <c:pt idx="0">
                        <c:v>9</c:v>
                      </c:pt>
                      <c:pt idx="1">
                        <c:v>9.75</c:v>
                      </c:pt>
                      <c:pt idx="2">
                        <c:v>9.75</c:v>
                      </c:pt>
                      <c:pt idx="3">
                        <c:v>9.5</c:v>
                      </c:pt>
                    </c:numCache>
                  </c:numRef>
                </c:val>
                <c:extLst>
                  <c:ext xmlns:c16="http://schemas.microsoft.com/office/drawing/2014/chart" uri="{C3380CC4-5D6E-409C-BE32-E72D297353CC}">
                    <c16:uniqueId val="{00000002-B462-418B-923D-EAD32ACCD806}"/>
                  </c:ext>
                </c:extLst>
              </c15:ser>
            </c15:filteredBarSeries>
            <c15:filteredBarSeries>
              <c15:ser>
                <c:idx val="2"/>
                <c:order val="2"/>
                <c:tx>
                  <c:strRef>
                    <c:extLst>
                      <c:ext xmlns:c15="http://schemas.microsoft.com/office/drawing/2012/chart" uri="{02D57815-91ED-43cb-92C2-25804820EDAC}">
                        <c15:formulaRef>
                          <c15:sqref>Analisis!$D$1</c15:sqref>
                        </c15:formulaRef>
                      </c:ext>
                    </c:extLst>
                    <c:strCache>
                      <c:ptCount val="1"/>
                      <c:pt idx="0">
                        <c:v>Tarea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Analisis!$D$2:$D$5</c15:sqref>
                        </c15:formulaRef>
                      </c:ext>
                    </c:extLst>
                    <c:numCache>
                      <c:formatCode>0</c:formatCode>
                      <c:ptCount val="4"/>
                      <c:pt idx="0">
                        <c:v>29.5</c:v>
                      </c:pt>
                      <c:pt idx="1">
                        <c:v>47.75</c:v>
                      </c:pt>
                      <c:pt idx="2">
                        <c:v>31.25</c:v>
                      </c:pt>
                      <c:pt idx="3">
                        <c:v>36.166666666666664</c:v>
                      </c:pt>
                    </c:numCache>
                  </c:numRef>
                </c:val>
                <c:extLst xmlns:c15="http://schemas.microsoft.com/office/drawing/2012/chart">
                  <c:ext xmlns:c16="http://schemas.microsoft.com/office/drawing/2014/chart" uri="{C3380CC4-5D6E-409C-BE32-E72D297353CC}">
                    <c16:uniqueId val="{00000000-B462-418B-923D-EAD32ACCD806}"/>
                  </c:ext>
                </c:extLst>
              </c15:ser>
            </c15:filteredBarSeries>
            <c15:filteredBarSeries>
              <c15:ser>
                <c:idx val="3"/>
                <c:order val="3"/>
                <c:tx>
                  <c:strRef>
                    <c:extLst>
                      <c:ext xmlns:c15="http://schemas.microsoft.com/office/drawing/2012/chart" uri="{02D57815-91ED-43cb-92C2-25804820EDAC}">
                        <c15:formulaRef>
                          <c15:sqref>Analisis!$E$1</c15:sqref>
                        </c15:formulaRef>
                      </c:ext>
                    </c:extLst>
                    <c:strCache>
                      <c:ptCount val="1"/>
                      <c:pt idx="0">
                        <c:v>Tarea 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Analisis!$E$2:$E$5</c15:sqref>
                        </c15:formulaRef>
                      </c:ext>
                    </c:extLst>
                    <c:numCache>
                      <c:formatCode>0</c:formatCode>
                      <c:ptCount val="4"/>
                      <c:pt idx="0">
                        <c:v>221.66666666666666</c:v>
                      </c:pt>
                      <c:pt idx="1">
                        <c:v>80</c:v>
                      </c:pt>
                      <c:pt idx="2">
                        <c:v>118.25</c:v>
                      </c:pt>
                      <c:pt idx="3">
                        <c:v>139.9722222222222</c:v>
                      </c:pt>
                    </c:numCache>
                  </c:numRef>
                </c:val>
                <c:extLst xmlns:c15="http://schemas.microsoft.com/office/drawing/2012/chart">
                  <c:ext xmlns:c16="http://schemas.microsoft.com/office/drawing/2014/chart" uri="{C3380CC4-5D6E-409C-BE32-E72D297353CC}">
                    <c16:uniqueId val="{00000003-B462-418B-923D-EAD32ACCD806}"/>
                  </c:ext>
                </c:extLst>
              </c15:ser>
            </c15:filteredBarSeries>
            <c15:filteredBarSeries>
              <c15:ser>
                <c:idx val="4"/>
                <c:order val="4"/>
                <c:tx>
                  <c:strRef>
                    <c:extLst>
                      <c:ext xmlns:c15="http://schemas.microsoft.com/office/drawing/2012/chart" uri="{02D57815-91ED-43cb-92C2-25804820EDAC}">
                        <c15:formulaRef>
                          <c15:sqref>Analisis!$F$1</c15:sqref>
                        </c15:formulaRef>
                      </c:ext>
                    </c:extLst>
                    <c:strCache>
                      <c:ptCount val="1"/>
                      <c:pt idx="0">
                        <c:v>Tiempo total medio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Analisis!$F$2:$F$5</c15:sqref>
                        </c15:formulaRef>
                      </c:ext>
                    </c:extLst>
                    <c:numCache>
                      <c:formatCode>0</c:formatCode>
                      <c:ptCount val="4"/>
                      <c:pt idx="0">
                        <c:v>507.66666666666663</c:v>
                      </c:pt>
                      <c:pt idx="1">
                        <c:v>367.5</c:v>
                      </c:pt>
                      <c:pt idx="2">
                        <c:v>407</c:v>
                      </c:pt>
                      <c:pt idx="3">
                        <c:v>427.38888888888891</c:v>
                      </c:pt>
                    </c:numCache>
                  </c:numRef>
                </c:val>
                <c:extLst xmlns:c15="http://schemas.microsoft.com/office/drawing/2012/chart">
                  <c:ext xmlns:c16="http://schemas.microsoft.com/office/drawing/2014/chart" uri="{C3380CC4-5D6E-409C-BE32-E72D297353CC}">
                    <c16:uniqueId val="{00000004-B462-418B-923D-EAD32ACCD806}"/>
                  </c:ext>
                </c:extLst>
              </c15:ser>
            </c15:filteredBarSeries>
            <c15:filteredBarSeries>
              <c15:ser>
                <c:idx val="5"/>
                <c:order val="5"/>
                <c:tx>
                  <c:strRef>
                    <c:extLst>
                      <c:ext xmlns:c15="http://schemas.microsoft.com/office/drawing/2012/chart" uri="{02D57815-91ED-43cb-92C2-25804820EDAC}">
                        <c15:formulaRef>
                          <c15:sqref>Analisis!$G$1</c15:sqref>
                        </c15:formulaRef>
                      </c:ext>
                    </c:extLst>
                    <c:strCache>
                      <c:ptCount val="1"/>
                      <c:pt idx="0">
                        <c:v>Valoración media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Analisis!$G$2:$G$5</c15:sqref>
                        </c15:formulaRef>
                      </c:ext>
                    </c:extLst>
                    <c:numCache>
                      <c:formatCode>0.0</c:formatCode>
                      <c:ptCount val="4"/>
                      <c:pt idx="0">
                        <c:v>5.5</c:v>
                      </c:pt>
                      <c:pt idx="1">
                        <c:v>8</c:v>
                      </c:pt>
                      <c:pt idx="2">
                        <c:v>8.125</c:v>
                      </c:pt>
                      <c:pt idx="3">
                        <c:v>7.208333333333333</c:v>
                      </c:pt>
                    </c:numCache>
                  </c:numRef>
                </c:val>
                <c:extLst xmlns:c15="http://schemas.microsoft.com/office/drawing/2012/chart">
                  <c:ext xmlns:c16="http://schemas.microsoft.com/office/drawing/2014/chart" uri="{C3380CC4-5D6E-409C-BE32-E72D297353CC}">
                    <c16:uniqueId val="{00000005-B462-418B-923D-EAD32ACCD806}"/>
                  </c:ext>
                </c:extLst>
              </c15:ser>
            </c15:filteredBarSeries>
          </c:ext>
        </c:extLst>
      </c:barChart>
      <c:catAx>
        <c:axId val="128695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0224"/>
        <c:crosses val="autoZero"/>
        <c:auto val="1"/>
        <c:lblAlgn val="ctr"/>
        <c:lblOffset val="100"/>
        <c:noMultiLvlLbl val="0"/>
      </c:catAx>
      <c:valAx>
        <c:axId val="128695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Comparación tandas</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/media </a:t>
            </a:r>
            <a:r>
              <a:rPr lang="en-US"/>
              <a:t>- Tarea 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3"/>
          <c:order val="3"/>
          <c:tx>
            <c:strRef>
              <c:f>Analisis!$E$1</c:f>
              <c:strCache>
                <c:ptCount val="1"/>
                <c:pt idx="0">
                  <c:v>Tarea 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Analisis!$A$2:$A$5</c:f>
              <c:strCache>
                <c:ptCount val="4"/>
                <c:pt idx="0">
                  <c:v>1</c:v>
                </c:pt>
                <c:pt idx="1">
                  <c:v>2</c:v>
                </c:pt>
                <c:pt idx="2">
                  <c:v>3</c:v>
                </c:pt>
                <c:pt idx="3">
                  <c:v>Global</c:v>
                </c:pt>
              </c:strCache>
            </c:strRef>
          </c:cat>
          <c:val>
            <c:numRef>
              <c:f>Analisis!$E$2:$E$5</c:f>
              <c:numCache>
                <c:formatCode>0</c:formatCode>
                <c:ptCount val="4"/>
                <c:pt idx="0">
                  <c:v>221.66666666666666</c:v>
                </c:pt>
                <c:pt idx="1">
                  <c:v>80</c:v>
                </c:pt>
                <c:pt idx="2">
                  <c:v>118.25</c:v>
                </c:pt>
                <c:pt idx="3">
                  <c:v>139.9722222222222</c:v>
                </c:pt>
              </c:numCache>
            </c:numRef>
          </c:val>
          <c:extLst>
            <c:ext xmlns:c16="http://schemas.microsoft.com/office/drawing/2014/chart" uri="{C3380CC4-5D6E-409C-BE32-E72D297353CC}">
              <c16:uniqueId val="{00000003-3E4B-4122-9B92-93464AF31642}"/>
            </c:ext>
          </c:extLst>
        </c:ser>
        <c:dLbls>
          <c:dLblPos val="inEnd"/>
          <c:showLegendKey val="0"/>
          <c:showVal val="1"/>
          <c:showCatName val="0"/>
          <c:showSerName val="0"/>
          <c:showPercent val="0"/>
          <c:showBubbleSize val="0"/>
        </c:dLbls>
        <c:gapWidth val="100"/>
        <c:overlap val="-24"/>
        <c:axId val="1286951184"/>
        <c:axId val="1286950224"/>
        <c:extLst>
          <c:ext xmlns:c15="http://schemas.microsoft.com/office/drawing/2012/chart" uri="{02D57815-91ED-43cb-92C2-25804820EDAC}">
            <c15:filteredBarSeries>
              <c15:ser>
                <c:idx val="0"/>
                <c:order val="0"/>
                <c:tx>
                  <c:strRef>
                    <c:extLst>
                      <c:ext uri="{02D57815-91ED-43cb-92C2-25804820EDAC}">
                        <c15:formulaRef>
                          <c15:sqref>Analisis!$B$1</c15:sqref>
                        </c15:formulaRef>
                      </c:ext>
                    </c:extLst>
                    <c:strCache>
                      <c:ptCount val="1"/>
                      <c:pt idx="0">
                        <c:v>Tarea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uri="{02D57815-91ED-43cb-92C2-25804820EDAC}">
                        <c15:formulaRef>
                          <c15:sqref>Analisis!$A$2:$A$5</c15:sqref>
                        </c15:formulaRef>
                      </c:ext>
                    </c:extLst>
                    <c:strCache>
                      <c:ptCount val="4"/>
                      <c:pt idx="0">
                        <c:v>1</c:v>
                      </c:pt>
                      <c:pt idx="1">
                        <c:v>2</c:v>
                      </c:pt>
                      <c:pt idx="2">
                        <c:v>3</c:v>
                      </c:pt>
                      <c:pt idx="3">
                        <c:v>Global</c:v>
                      </c:pt>
                    </c:strCache>
                  </c:strRef>
                </c:cat>
                <c:val>
                  <c:numRef>
                    <c:extLst>
                      <c:ext uri="{02D57815-91ED-43cb-92C2-25804820EDAC}">
                        <c15:formulaRef>
                          <c15:sqref>Analisis!$B$2:$B$5</c15:sqref>
                        </c15:formulaRef>
                      </c:ext>
                    </c:extLst>
                    <c:numCache>
                      <c:formatCode>0</c:formatCode>
                      <c:ptCount val="4"/>
                      <c:pt idx="0">
                        <c:v>256.5</c:v>
                      </c:pt>
                      <c:pt idx="1">
                        <c:v>239.75</c:v>
                      </c:pt>
                      <c:pt idx="2">
                        <c:v>257.5</c:v>
                      </c:pt>
                      <c:pt idx="3">
                        <c:v>251.25</c:v>
                      </c:pt>
                    </c:numCache>
                  </c:numRef>
                </c:val>
                <c:extLst>
                  <c:ext xmlns:c16="http://schemas.microsoft.com/office/drawing/2014/chart" uri="{C3380CC4-5D6E-409C-BE32-E72D297353CC}">
                    <c16:uniqueId val="{00000001-3E4B-4122-9B92-93464AF31642}"/>
                  </c:ext>
                </c:extLst>
              </c15:ser>
            </c15:filteredBarSeries>
            <c15:filteredBarSeries>
              <c15:ser>
                <c:idx val="1"/>
                <c:order val="1"/>
                <c:tx>
                  <c:strRef>
                    <c:extLst>
                      <c:ext xmlns:c15="http://schemas.microsoft.com/office/drawing/2012/chart" uri="{02D57815-91ED-43cb-92C2-25804820EDAC}">
                        <c15:formulaRef>
                          <c15:sqref>Analisis!$C$1</c15:sqref>
                        </c15:formulaRef>
                      </c:ext>
                    </c:extLst>
                    <c:strCache>
                      <c:ptCount val="1"/>
                      <c:pt idx="0">
                        <c:v>Media aciertos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Analisis!$C$2:$C$5</c15:sqref>
                        </c15:formulaRef>
                      </c:ext>
                    </c:extLst>
                    <c:numCache>
                      <c:formatCode>0.0</c:formatCode>
                      <c:ptCount val="4"/>
                      <c:pt idx="0">
                        <c:v>9</c:v>
                      </c:pt>
                      <c:pt idx="1">
                        <c:v>9.75</c:v>
                      </c:pt>
                      <c:pt idx="2">
                        <c:v>9.75</c:v>
                      </c:pt>
                      <c:pt idx="3">
                        <c:v>9.5</c:v>
                      </c:pt>
                    </c:numCache>
                  </c:numRef>
                </c:val>
                <c:extLst xmlns:c15="http://schemas.microsoft.com/office/drawing/2012/chart">
                  <c:ext xmlns:c16="http://schemas.microsoft.com/office/drawing/2014/chart" uri="{C3380CC4-5D6E-409C-BE32-E72D297353CC}">
                    <c16:uniqueId val="{00000002-3E4B-4122-9B92-93464AF31642}"/>
                  </c:ext>
                </c:extLst>
              </c15:ser>
            </c15:filteredBarSeries>
            <c15:filteredBarSeries>
              <c15:ser>
                <c:idx val="2"/>
                <c:order val="2"/>
                <c:tx>
                  <c:strRef>
                    <c:extLst>
                      <c:ext xmlns:c15="http://schemas.microsoft.com/office/drawing/2012/chart" uri="{02D57815-91ED-43cb-92C2-25804820EDAC}">
                        <c15:formulaRef>
                          <c15:sqref>Analisis!$D$1</c15:sqref>
                        </c15:formulaRef>
                      </c:ext>
                    </c:extLst>
                    <c:strCache>
                      <c:ptCount val="1"/>
                      <c:pt idx="0">
                        <c:v>Tarea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Analisis!$D$2:$D$5</c15:sqref>
                        </c15:formulaRef>
                      </c:ext>
                    </c:extLst>
                    <c:numCache>
                      <c:formatCode>0</c:formatCode>
                      <c:ptCount val="4"/>
                      <c:pt idx="0">
                        <c:v>29.5</c:v>
                      </c:pt>
                      <c:pt idx="1">
                        <c:v>47.75</c:v>
                      </c:pt>
                      <c:pt idx="2">
                        <c:v>31.25</c:v>
                      </c:pt>
                      <c:pt idx="3">
                        <c:v>36.166666666666664</c:v>
                      </c:pt>
                    </c:numCache>
                  </c:numRef>
                </c:val>
                <c:extLst xmlns:c15="http://schemas.microsoft.com/office/drawing/2012/chart">
                  <c:ext xmlns:c16="http://schemas.microsoft.com/office/drawing/2014/chart" uri="{C3380CC4-5D6E-409C-BE32-E72D297353CC}">
                    <c16:uniqueId val="{00000000-3E4B-4122-9B92-93464AF31642}"/>
                  </c:ext>
                </c:extLst>
              </c15:ser>
            </c15:filteredBarSeries>
            <c15:filteredBarSeries>
              <c15:ser>
                <c:idx val="4"/>
                <c:order val="4"/>
                <c:tx>
                  <c:strRef>
                    <c:extLst>
                      <c:ext xmlns:c15="http://schemas.microsoft.com/office/drawing/2012/chart" uri="{02D57815-91ED-43cb-92C2-25804820EDAC}">
                        <c15:formulaRef>
                          <c15:sqref>Analisis!$F$1</c15:sqref>
                        </c15:formulaRef>
                      </c:ext>
                    </c:extLst>
                    <c:strCache>
                      <c:ptCount val="1"/>
                      <c:pt idx="0">
                        <c:v>Tiempo total medio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Analisis!$F$2:$F$5</c15:sqref>
                        </c15:formulaRef>
                      </c:ext>
                    </c:extLst>
                    <c:numCache>
                      <c:formatCode>0</c:formatCode>
                      <c:ptCount val="4"/>
                      <c:pt idx="0">
                        <c:v>507.66666666666663</c:v>
                      </c:pt>
                      <c:pt idx="1">
                        <c:v>367.5</c:v>
                      </c:pt>
                      <c:pt idx="2">
                        <c:v>407</c:v>
                      </c:pt>
                      <c:pt idx="3">
                        <c:v>427.38888888888891</c:v>
                      </c:pt>
                    </c:numCache>
                  </c:numRef>
                </c:val>
                <c:extLst xmlns:c15="http://schemas.microsoft.com/office/drawing/2012/chart">
                  <c:ext xmlns:c16="http://schemas.microsoft.com/office/drawing/2014/chart" uri="{C3380CC4-5D6E-409C-BE32-E72D297353CC}">
                    <c16:uniqueId val="{00000004-3E4B-4122-9B92-93464AF31642}"/>
                  </c:ext>
                </c:extLst>
              </c15:ser>
            </c15:filteredBarSeries>
            <c15:filteredBarSeries>
              <c15:ser>
                <c:idx val="5"/>
                <c:order val="5"/>
                <c:tx>
                  <c:strRef>
                    <c:extLst>
                      <c:ext xmlns:c15="http://schemas.microsoft.com/office/drawing/2012/chart" uri="{02D57815-91ED-43cb-92C2-25804820EDAC}">
                        <c15:formulaRef>
                          <c15:sqref>Analisis!$G$1</c15:sqref>
                        </c15:formulaRef>
                      </c:ext>
                    </c:extLst>
                    <c:strCache>
                      <c:ptCount val="1"/>
                      <c:pt idx="0">
                        <c:v>Valoración media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Analisis!$G$2:$G$5</c15:sqref>
                        </c15:formulaRef>
                      </c:ext>
                    </c:extLst>
                    <c:numCache>
                      <c:formatCode>0.0</c:formatCode>
                      <c:ptCount val="4"/>
                      <c:pt idx="0">
                        <c:v>5.5</c:v>
                      </c:pt>
                      <c:pt idx="1">
                        <c:v>8</c:v>
                      </c:pt>
                      <c:pt idx="2">
                        <c:v>8.125</c:v>
                      </c:pt>
                      <c:pt idx="3">
                        <c:v>7.208333333333333</c:v>
                      </c:pt>
                    </c:numCache>
                  </c:numRef>
                </c:val>
                <c:extLst xmlns:c15="http://schemas.microsoft.com/office/drawing/2012/chart">
                  <c:ext xmlns:c16="http://schemas.microsoft.com/office/drawing/2014/chart" uri="{C3380CC4-5D6E-409C-BE32-E72D297353CC}">
                    <c16:uniqueId val="{00000005-3E4B-4122-9B92-93464AF31642}"/>
                  </c:ext>
                </c:extLst>
              </c15:ser>
            </c15:filteredBarSeries>
          </c:ext>
        </c:extLst>
      </c:barChart>
      <c:catAx>
        <c:axId val="128695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0224"/>
        <c:crosses val="autoZero"/>
        <c:auto val="1"/>
        <c:lblAlgn val="ctr"/>
        <c:lblOffset val="100"/>
        <c:noMultiLvlLbl val="0"/>
      </c:catAx>
      <c:valAx>
        <c:axId val="128695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Comparacion</a:t>
            </a:r>
            <a:r>
              <a:rPr lang="en-US" baseline="0"/>
              <a:t>es optimas - Tarea 1</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456740284249426E-2"/>
          <c:y val="0.21872774201979939"/>
          <c:w val="0.86798833588512481"/>
          <c:h val="0.52059027891223142"/>
        </c:manualLayout>
      </c:layout>
      <c:barChart>
        <c:barDir val="col"/>
        <c:grouping val="clustered"/>
        <c:varyColors val="0"/>
        <c:ser>
          <c:idx val="0"/>
          <c:order val="0"/>
          <c:tx>
            <c:strRef>
              <c:f>Analisis!$B$21</c:f>
              <c:strCache>
                <c:ptCount val="1"/>
                <c:pt idx="0">
                  <c:v>Programador - T1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Analisis!$A$22:$A$25</c:f>
              <c:strCache>
                <c:ptCount val="4"/>
                <c:pt idx="0">
                  <c:v>1</c:v>
                </c:pt>
                <c:pt idx="1">
                  <c:v>2</c:v>
                </c:pt>
                <c:pt idx="2">
                  <c:v>3</c:v>
                </c:pt>
                <c:pt idx="3">
                  <c:v>Global</c:v>
                </c:pt>
              </c:strCache>
            </c:strRef>
          </c:cat>
          <c:val>
            <c:numRef>
              <c:f>Analisis!$B$22:$B$25</c:f>
              <c:numCache>
                <c:formatCode>0</c:formatCode>
                <c:ptCount val="4"/>
                <c:pt idx="0">
                  <c:v>135</c:v>
                </c:pt>
                <c:pt idx="1">
                  <c:v>100</c:v>
                </c:pt>
                <c:pt idx="2">
                  <c:v>164</c:v>
                </c:pt>
                <c:pt idx="3">
                  <c:v>133</c:v>
                </c:pt>
              </c:numCache>
            </c:numRef>
          </c:val>
          <c:extLst>
            <c:ext xmlns:c16="http://schemas.microsoft.com/office/drawing/2014/chart" uri="{C3380CC4-5D6E-409C-BE32-E72D297353CC}">
              <c16:uniqueId val="{00000000-E8CA-403F-B2AE-D299EF5A98D8}"/>
            </c:ext>
          </c:extLst>
        </c:ser>
        <c:ser>
          <c:idx val="1"/>
          <c:order val="1"/>
          <c:tx>
            <c:strRef>
              <c:f>Analisis!$C$21</c:f>
              <c:strCache>
                <c:ptCount val="1"/>
                <c:pt idx="0">
                  <c:v>Media Usuarios - T1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Analisis!$A$22:$A$25</c:f>
              <c:strCache>
                <c:ptCount val="4"/>
                <c:pt idx="0">
                  <c:v>1</c:v>
                </c:pt>
                <c:pt idx="1">
                  <c:v>2</c:v>
                </c:pt>
                <c:pt idx="2">
                  <c:v>3</c:v>
                </c:pt>
                <c:pt idx="3">
                  <c:v>Global</c:v>
                </c:pt>
              </c:strCache>
            </c:strRef>
          </c:cat>
          <c:val>
            <c:numRef>
              <c:f>Analisis!$C$22:$C$25</c:f>
              <c:numCache>
                <c:formatCode>0</c:formatCode>
                <c:ptCount val="4"/>
                <c:pt idx="0">
                  <c:v>297</c:v>
                </c:pt>
                <c:pt idx="1">
                  <c:v>286.33333333333331</c:v>
                </c:pt>
                <c:pt idx="2">
                  <c:v>288.66666666666669</c:v>
                </c:pt>
                <c:pt idx="3">
                  <c:v>290.66666666666669</c:v>
                </c:pt>
              </c:numCache>
            </c:numRef>
          </c:val>
          <c:extLst>
            <c:ext xmlns:c16="http://schemas.microsoft.com/office/drawing/2014/chart" uri="{C3380CC4-5D6E-409C-BE32-E72D297353CC}">
              <c16:uniqueId val="{00000001-E8CA-403F-B2AE-D299EF5A98D8}"/>
            </c:ext>
          </c:extLst>
        </c:ser>
        <c:dLbls>
          <c:dLblPos val="inEnd"/>
          <c:showLegendKey val="0"/>
          <c:showVal val="1"/>
          <c:showCatName val="0"/>
          <c:showSerName val="0"/>
          <c:showPercent val="0"/>
          <c:showBubbleSize val="0"/>
        </c:dLbls>
        <c:gapWidth val="100"/>
        <c:overlap val="-24"/>
        <c:axId val="1286951184"/>
        <c:axId val="1286950224"/>
        <c:extLst>
          <c:ext xmlns:c15="http://schemas.microsoft.com/office/drawing/2012/chart" uri="{02D57815-91ED-43cb-92C2-25804820EDAC}">
            <c15:filteredBarSeries>
              <c15:ser>
                <c:idx val="2"/>
                <c:order val="2"/>
                <c:tx>
                  <c:strRef>
                    <c:extLst>
                      <c:ext uri="{02D57815-91ED-43cb-92C2-25804820EDAC}">
                        <c15:formulaRef>
                          <c15:sqref>Analisis!$D$21</c15:sqref>
                        </c15:formulaRef>
                      </c:ext>
                    </c:extLst>
                    <c:strCache>
                      <c:ptCount val="1"/>
                      <c:pt idx="0">
                        <c:v>Similitud - T1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uri="{02D57815-91ED-43cb-92C2-25804820EDAC}">
                        <c15:formulaRef>
                          <c15:sqref>Analisis!$A$22:$A$25</c15:sqref>
                        </c15:formulaRef>
                      </c:ext>
                    </c:extLst>
                    <c:strCache>
                      <c:ptCount val="4"/>
                      <c:pt idx="0">
                        <c:v>1</c:v>
                      </c:pt>
                      <c:pt idx="1">
                        <c:v>2</c:v>
                      </c:pt>
                      <c:pt idx="2">
                        <c:v>3</c:v>
                      </c:pt>
                      <c:pt idx="3">
                        <c:v>Global</c:v>
                      </c:pt>
                    </c:strCache>
                  </c:strRef>
                </c:cat>
                <c:val>
                  <c:numRef>
                    <c:extLst>
                      <c:ext uri="{02D57815-91ED-43cb-92C2-25804820EDAC}">
                        <c15:formulaRef>
                          <c15:sqref>Analisis!$D$22:$D$25</c15:sqref>
                        </c15:formulaRef>
                      </c:ext>
                    </c:extLst>
                    <c:numCache>
                      <c:formatCode>0%</c:formatCode>
                      <c:ptCount val="4"/>
                      <c:pt idx="0">
                        <c:v>0.45454545454545453</c:v>
                      </c:pt>
                      <c:pt idx="1">
                        <c:v>0.34924330616996507</c:v>
                      </c:pt>
                      <c:pt idx="2">
                        <c:v>0.56812933025404155</c:v>
                      </c:pt>
                      <c:pt idx="3">
                        <c:v>0.45756880733944949</c:v>
                      </c:pt>
                    </c:numCache>
                  </c:numRef>
                </c:val>
                <c:extLst>
                  <c:ext xmlns:c16="http://schemas.microsoft.com/office/drawing/2014/chart" uri="{C3380CC4-5D6E-409C-BE32-E72D297353CC}">
                    <c16:uniqueId val="{00000002-E8CA-403F-B2AE-D299EF5A98D8}"/>
                  </c:ext>
                </c:extLst>
              </c15:ser>
            </c15:filteredBarSeries>
            <c15:filteredBarSeries>
              <c15:ser>
                <c:idx val="3"/>
                <c:order val="3"/>
                <c:tx>
                  <c:strRef>
                    <c:extLst>
                      <c:ext xmlns:c15="http://schemas.microsoft.com/office/drawing/2012/chart" uri="{02D57815-91ED-43cb-92C2-25804820EDAC}">
                        <c15:formulaRef>
                          <c15:sqref>Analisis!$E$21</c15:sqref>
                        </c15:formulaRef>
                      </c:ext>
                    </c:extLst>
                    <c:strCache>
                      <c:ptCount val="1"/>
                      <c:pt idx="0">
                        <c:v>Programador - T2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Analisis!$E$22:$E$25</c15:sqref>
                        </c15:formulaRef>
                      </c:ext>
                    </c:extLst>
                    <c:numCache>
                      <c:formatCode>0</c:formatCode>
                      <c:ptCount val="4"/>
                      <c:pt idx="0">
                        <c:v>14</c:v>
                      </c:pt>
                      <c:pt idx="1">
                        <c:v>7</c:v>
                      </c:pt>
                      <c:pt idx="2">
                        <c:v>15</c:v>
                      </c:pt>
                      <c:pt idx="3">
                        <c:v>12</c:v>
                      </c:pt>
                    </c:numCache>
                  </c:numRef>
                </c:val>
                <c:extLst xmlns:c15="http://schemas.microsoft.com/office/drawing/2012/chart">
                  <c:ext xmlns:c16="http://schemas.microsoft.com/office/drawing/2014/chart" uri="{C3380CC4-5D6E-409C-BE32-E72D297353CC}">
                    <c16:uniqueId val="{00000003-E8CA-403F-B2AE-D299EF5A98D8}"/>
                  </c:ext>
                </c:extLst>
              </c15:ser>
            </c15:filteredBarSeries>
            <c15:filteredBarSeries>
              <c15:ser>
                <c:idx val="4"/>
                <c:order val="4"/>
                <c:tx>
                  <c:strRef>
                    <c:extLst>
                      <c:ext xmlns:c15="http://schemas.microsoft.com/office/drawing/2012/chart" uri="{02D57815-91ED-43cb-92C2-25804820EDAC}">
                        <c15:formulaRef>
                          <c15:sqref>Analisis!$F$21</c15:sqref>
                        </c15:formulaRef>
                      </c:ext>
                    </c:extLst>
                    <c:strCache>
                      <c:ptCount val="1"/>
                      <c:pt idx="0">
                        <c:v>Media Usuarios - T2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Analisis!$F$22:$F$25</c15:sqref>
                        </c15:formulaRef>
                      </c:ext>
                    </c:extLst>
                    <c:numCache>
                      <c:formatCode>0</c:formatCode>
                      <c:ptCount val="4"/>
                      <c:pt idx="0">
                        <c:v>34.666666666666664</c:v>
                      </c:pt>
                      <c:pt idx="1">
                        <c:v>61.333333333333336</c:v>
                      </c:pt>
                      <c:pt idx="2">
                        <c:v>36.666666666666664</c:v>
                      </c:pt>
                      <c:pt idx="3">
                        <c:v>44.222222222222221</c:v>
                      </c:pt>
                    </c:numCache>
                  </c:numRef>
                </c:val>
                <c:extLst xmlns:c15="http://schemas.microsoft.com/office/drawing/2012/chart">
                  <c:ext xmlns:c16="http://schemas.microsoft.com/office/drawing/2014/chart" uri="{C3380CC4-5D6E-409C-BE32-E72D297353CC}">
                    <c16:uniqueId val="{00000004-E8CA-403F-B2AE-D299EF5A98D8}"/>
                  </c:ext>
                </c:extLst>
              </c15:ser>
            </c15:filteredBarSeries>
            <c15:filteredBarSeries>
              <c15:ser>
                <c:idx val="5"/>
                <c:order val="5"/>
                <c:tx>
                  <c:strRef>
                    <c:extLst>
                      <c:ext xmlns:c15="http://schemas.microsoft.com/office/drawing/2012/chart" uri="{02D57815-91ED-43cb-92C2-25804820EDAC}">
                        <c15:formulaRef>
                          <c15:sqref>Analisis!$G$21</c15:sqref>
                        </c15:formulaRef>
                      </c:ext>
                    </c:extLst>
                    <c:strCache>
                      <c:ptCount val="1"/>
                      <c:pt idx="0">
                        <c:v>Similitud - T2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Analisis!$G$22:$G$25</c15:sqref>
                        </c15:formulaRef>
                      </c:ext>
                    </c:extLst>
                    <c:numCache>
                      <c:formatCode>0%</c:formatCode>
                      <c:ptCount val="4"/>
                      <c:pt idx="0">
                        <c:v>0.40384615384615385</c:v>
                      </c:pt>
                      <c:pt idx="1">
                        <c:v>0.11413043478260869</c:v>
                      </c:pt>
                      <c:pt idx="2">
                        <c:v>0.40909090909090912</c:v>
                      </c:pt>
                      <c:pt idx="3">
                        <c:v>0.271356783919598</c:v>
                      </c:pt>
                    </c:numCache>
                  </c:numRef>
                </c:val>
                <c:extLst xmlns:c15="http://schemas.microsoft.com/office/drawing/2012/chart">
                  <c:ext xmlns:c16="http://schemas.microsoft.com/office/drawing/2014/chart" uri="{C3380CC4-5D6E-409C-BE32-E72D297353CC}">
                    <c16:uniqueId val="{00000005-E8CA-403F-B2AE-D299EF5A98D8}"/>
                  </c:ext>
                </c:extLst>
              </c15:ser>
            </c15:filteredBarSeries>
            <c15:filteredBarSeries>
              <c15:ser>
                <c:idx val="6"/>
                <c:order val="6"/>
                <c:tx>
                  <c:strRef>
                    <c:extLst>
                      <c:ext xmlns:c15="http://schemas.microsoft.com/office/drawing/2012/chart" uri="{02D57815-91ED-43cb-92C2-25804820EDAC}">
                        <c15:formulaRef>
                          <c15:sqref>Analisis!$H$21</c15:sqref>
                        </c15:formulaRef>
                      </c:ext>
                    </c:extLst>
                    <c:strCache>
                      <c:ptCount val="1"/>
                      <c:pt idx="0">
                        <c:v>Programador - T3</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Analisis!$H$22:$H$25</c15:sqref>
                        </c15:formulaRef>
                      </c:ext>
                    </c:extLst>
                    <c:numCache>
                      <c:formatCode>0</c:formatCode>
                      <c:ptCount val="4"/>
                      <c:pt idx="0">
                        <c:v>57</c:v>
                      </c:pt>
                      <c:pt idx="1">
                        <c:v>77</c:v>
                      </c:pt>
                      <c:pt idx="2">
                        <c:v>97</c:v>
                      </c:pt>
                      <c:pt idx="3">
                        <c:v>77</c:v>
                      </c:pt>
                    </c:numCache>
                  </c:numRef>
                </c:val>
                <c:extLst xmlns:c15="http://schemas.microsoft.com/office/drawing/2012/chart">
                  <c:ext xmlns:c16="http://schemas.microsoft.com/office/drawing/2014/chart" uri="{C3380CC4-5D6E-409C-BE32-E72D297353CC}">
                    <c16:uniqueId val="{00000018-E8CA-403F-B2AE-D299EF5A98D8}"/>
                  </c:ext>
                </c:extLst>
              </c15:ser>
            </c15:filteredBarSeries>
            <c15:filteredBarSeries>
              <c15:ser>
                <c:idx val="7"/>
                <c:order val="7"/>
                <c:tx>
                  <c:strRef>
                    <c:extLst>
                      <c:ext xmlns:c15="http://schemas.microsoft.com/office/drawing/2012/chart" uri="{02D57815-91ED-43cb-92C2-25804820EDAC}">
                        <c15:formulaRef>
                          <c15:sqref>Analisis!$I$21</c15:sqref>
                        </c15:formulaRef>
                      </c:ext>
                    </c:extLst>
                    <c:strCache>
                      <c:ptCount val="1"/>
                      <c:pt idx="0">
                        <c:v>Media Usuarios - T3</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Analisis!$I$22:$I$25</c15:sqref>
                        </c15:formulaRef>
                      </c:ext>
                    </c:extLst>
                    <c:numCache>
                      <c:formatCode>0</c:formatCode>
                      <c:ptCount val="4"/>
                      <c:pt idx="0">
                        <c:v>304</c:v>
                      </c:pt>
                      <c:pt idx="1">
                        <c:v>81</c:v>
                      </c:pt>
                      <c:pt idx="2">
                        <c:v>125.33333333333333</c:v>
                      </c:pt>
                      <c:pt idx="3">
                        <c:v>170.11111111111111</c:v>
                      </c:pt>
                    </c:numCache>
                  </c:numRef>
                </c:val>
                <c:extLst xmlns:c15="http://schemas.microsoft.com/office/drawing/2012/chart">
                  <c:ext xmlns:c16="http://schemas.microsoft.com/office/drawing/2014/chart" uri="{C3380CC4-5D6E-409C-BE32-E72D297353CC}">
                    <c16:uniqueId val="{00000019-E8CA-403F-B2AE-D299EF5A98D8}"/>
                  </c:ext>
                </c:extLst>
              </c15:ser>
            </c15:filteredBarSeries>
            <c15:filteredBarSeries>
              <c15:ser>
                <c:idx val="8"/>
                <c:order val="8"/>
                <c:tx>
                  <c:strRef>
                    <c:extLst>
                      <c:ext xmlns:c15="http://schemas.microsoft.com/office/drawing/2012/chart" uri="{02D57815-91ED-43cb-92C2-25804820EDAC}">
                        <c15:formulaRef>
                          <c15:sqref>Analisis!$J$21</c15:sqref>
                        </c15:formulaRef>
                      </c:ext>
                    </c:extLst>
                    <c:strCache>
                      <c:ptCount val="1"/>
                      <c:pt idx="0">
                        <c:v>Similitud - T3</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Analisis!$J$22:$J$25</c15:sqref>
                        </c15:formulaRef>
                      </c:ext>
                    </c:extLst>
                    <c:numCache>
                      <c:formatCode>0%</c:formatCode>
                      <c:ptCount val="4"/>
                      <c:pt idx="0">
                        <c:v>0.1875</c:v>
                      </c:pt>
                      <c:pt idx="1">
                        <c:v>0.95061728395061729</c:v>
                      </c:pt>
                      <c:pt idx="2">
                        <c:v>0.77393617021276595</c:v>
                      </c:pt>
                      <c:pt idx="3">
                        <c:v>0.45264532984977141</c:v>
                      </c:pt>
                    </c:numCache>
                  </c:numRef>
                </c:val>
                <c:extLst xmlns:c15="http://schemas.microsoft.com/office/drawing/2012/chart">
                  <c:ext xmlns:c16="http://schemas.microsoft.com/office/drawing/2014/chart" uri="{C3380CC4-5D6E-409C-BE32-E72D297353CC}">
                    <c16:uniqueId val="{00000032-E8CA-403F-B2AE-D299EF5A98D8}"/>
                  </c:ext>
                </c:extLst>
              </c15:ser>
            </c15:filteredBarSeries>
            <c15:filteredBarSeries>
              <c15:ser>
                <c:idx val="9"/>
                <c:order val="9"/>
                <c:tx>
                  <c:strRef>
                    <c:extLst>
                      <c:ext xmlns:c15="http://schemas.microsoft.com/office/drawing/2012/chart" uri="{02D57815-91ED-43cb-92C2-25804820EDAC}">
                        <c15:formulaRef>
                          <c15:sqref>Analisis!$K$21</c15:sqref>
                        </c15:formulaRef>
                      </c:ext>
                    </c:extLst>
                    <c:strCache>
                      <c:ptCount val="1"/>
                      <c:pt idx="0">
                        <c:v>Programador - Total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Analisis!$K$22:$K$25</c15:sqref>
                        </c15:formulaRef>
                      </c:ext>
                    </c:extLst>
                    <c:numCache>
                      <c:formatCode>0</c:formatCode>
                      <c:ptCount val="4"/>
                      <c:pt idx="0">
                        <c:v>206</c:v>
                      </c:pt>
                      <c:pt idx="1">
                        <c:v>184</c:v>
                      </c:pt>
                      <c:pt idx="2">
                        <c:v>276</c:v>
                      </c:pt>
                      <c:pt idx="3">
                        <c:v>222</c:v>
                      </c:pt>
                    </c:numCache>
                  </c:numRef>
                </c:val>
                <c:extLst xmlns:c15="http://schemas.microsoft.com/office/drawing/2012/chart">
                  <c:ext xmlns:c16="http://schemas.microsoft.com/office/drawing/2014/chart" uri="{C3380CC4-5D6E-409C-BE32-E72D297353CC}">
                    <c16:uniqueId val="{00000033-E8CA-403F-B2AE-D299EF5A98D8}"/>
                  </c:ext>
                </c:extLst>
              </c15:ser>
            </c15:filteredBarSeries>
            <c15:filteredBarSeries>
              <c15:ser>
                <c:idx val="10"/>
                <c:order val="10"/>
                <c:tx>
                  <c:strRef>
                    <c:extLst>
                      <c:ext xmlns:c15="http://schemas.microsoft.com/office/drawing/2012/chart" uri="{02D57815-91ED-43cb-92C2-25804820EDAC}">
                        <c15:formulaRef>
                          <c15:sqref>Analisis!$L$21</c15:sqref>
                        </c15:formulaRef>
                      </c:ext>
                    </c:extLst>
                    <c:strCache>
                      <c:ptCount val="1"/>
                      <c:pt idx="0">
                        <c:v>Media Usuarios - Total</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Analisis!$L$22:$L$25</c15:sqref>
                        </c15:formulaRef>
                      </c:ext>
                    </c:extLst>
                    <c:numCache>
                      <c:formatCode>0</c:formatCode>
                      <c:ptCount val="4"/>
                      <c:pt idx="0">
                        <c:v>635.66666666666674</c:v>
                      </c:pt>
                      <c:pt idx="1">
                        <c:v>428.66666666666663</c:v>
                      </c:pt>
                      <c:pt idx="2">
                        <c:v>450.66666666666669</c:v>
                      </c:pt>
                      <c:pt idx="3">
                        <c:v>505.00000000000006</c:v>
                      </c:pt>
                    </c:numCache>
                  </c:numRef>
                </c:val>
                <c:extLst xmlns:c15="http://schemas.microsoft.com/office/drawing/2012/chart">
                  <c:ext xmlns:c16="http://schemas.microsoft.com/office/drawing/2014/chart" uri="{C3380CC4-5D6E-409C-BE32-E72D297353CC}">
                    <c16:uniqueId val="{00000034-E8CA-403F-B2AE-D299EF5A98D8}"/>
                  </c:ext>
                </c:extLst>
              </c15:ser>
            </c15:filteredBarSeries>
            <c15:filteredBarSeries>
              <c15:ser>
                <c:idx val="11"/>
                <c:order val="11"/>
                <c:tx>
                  <c:strRef>
                    <c:extLst>
                      <c:ext xmlns:c15="http://schemas.microsoft.com/office/drawing/2012/chart" uri="{02D57815-91ED-43cb-92C2-25804820EDAC}">
                        <c15:formulaRef>
                          <c15:sqref>Analisis!$M$21</c15:sqref>
                        </c15:formulaRef>
                      </c:ext>
                    </c:extLst>
                    <c:strCache>
                      <c:ptCount val="1"/>
                      <c:pt idx="0">
                        <c:v>Similitud - Total</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Analisis!$M$22:$M$25</c15:sqref>
                        </c15:formulaRef>
                      </c:ext>
                    </c:extLst>
                    <c:numCache>
                      <c:formatCode>0%</c:formatCode>
                      <c:ptCount val="4"/>
                      <c:pt idx="0">
                        <c:v>0.32406921866806498</c:v>
                      </c:pt>
                      <c:pt idx="1">
                        <c:v>0.42923794712286162</c:v>
                      </c:pt>
                      <c:pt idx="2">
                        <c:v>0.6124260355029586</c:v>
                      </c:pt>
                      <c:pt idx="3">
                        <c:v>0.43960396039603955</c:v>
                      </c:pt>
                    </c:numCache>
                  </c:numRef>
                </c:val>
                <c:extLst xmlns:c15="http://schemas.microsoft.com/office/drawing/2012/chart">
                  <c:ext xmlns:c16="http://schemas.microsoft.com/office/drawing/2014/chart" uri="{C3380CC4-5D6E-409C-BE32-E72D297353CC}">
                    <c16:uniqueId val="{00000035-E8CA-403F-B2AE-D299EF5A98D8}"/>
                  </c:ext>
                </c:extLst>
              </c15:ser>
            </c15:filteredBarSeries>
          </c:ext>
        </c:extLst>
      </c:barChart>
      <c:catAx>
        <c:axId val="128695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0224"/>
        <c:crosses val="autoZero"/>
        <c:auto val="1"/>
        <c:lblAlgn val="ctr"/>
        <c:lblOffset val="100"/>
        <c:noMultiLvlLbl val="0"/>
      </c:catAx>
      <c:valAx>
        <c:axId val="128695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1184"/>
        <c:crosses val="autoZero"/>
        <c:crossBetween val="between"/>
      </c:valAx>
      <c:spPr>
        <a:noFill/>
        <a:ln>
          <a:noFill/>
        </a:ln>
        <a:effectLst/>
      </c:spPr>
    </c:plotArea>
    <c:legend>
      <c:legendPos val="r"/>
      <c:layout>
        <c:manualLayout>
          <c:xMode val="edge"/>
          <c:yMode val="edge"/>
          <c:x val="0.29605842527029785"/>
          <c:y val="0.80092614979144217"/>
          <c:w val="0.39770600519728688"/>
          <c:h val="0.18672329859182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Comparación tandas</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/media </a:t>
            </a:r>
            <a:r>
              <a:rPr lang="en-US"/>
              <a:t>- 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4"/>
          <c:order val="4"/>
          <c:tx>
            <c:strRef>
              <c:f>Analisis!$F$1</c:f>
              <c:strCache>
                <c:ptCount val="1"/>
                <c:pt idx="0">
                  <c:v>Tiempo total medio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Analisis!$A$2:$A$5</c:f>
              <c:strCache>
                <c:ptCount val="4"/>
                <c:pt idx="0">
                  <c:v>1</c:v>
                </c:pt>
                <c:pt idx="1">
                  <c:v>2</c:v>
                </c:pt>
                <c:pt idx="2">
                  <c:v>3</c:v>
                </c:pt>
                <c:pt idx="3">
                  <c:v>Global</c:v>
                </c:pt>
              </c:strCache>
            </c:strRef>
          </c:cat>
          <c:val>
            <c:numRef>
              <c:f>Analisis!$F$2:$F$5</c:f>
              <c:numCache>
                <c:formatCode>0</c:formatCode>
                <c:ptCount val="4"/>
                <c:pt idx="0">
                  <c:v>507.66666666666663</c:v>
                </c:pt>
                <c:pt idx="1">
                  <c:v>367.5</c:v>
                </c:pt>
                <c:pt idx="2">
                  <c:v>407</c:v>
                </c:pt>
                <c:pt idx="3">
                  <c:v>427.38888888888891</c:v>
                </c:pt>
              </c:numCache>
            </c:numRef>
          </c:val>
          <c:extLst>
            <c:ext xmlns:c16="http://schemas.microsoft.com/office/drawing/2014/chart" uri="{C3380CC4-5D6E-409C-BE32-E72D297353CC}">
              <c16:uniqueId val="{00000004-A506-4335-A30E-58CCB02001DE}"/>
            </c:ext>
          </c:extLst>
        </c:ser>
        <c:dLbls>
          <c:dLblPos val="inEnd"/>
          <c:showLegendKey val="0"/>
          <c:showVal val="1"/>
          <c:showCatName val="0"/>
          <c:showSerName val="0"/>
          <c:showPercent val="0"/>
          <c:showBubbleSize val="0"/>
        </c:dLbls>
        <c:gapWidth val="100"/>
        <c:overlap val="-24"/>
        <c:axId val="1286951184"/>
        <c:axId val="1286950224"/>
        <c:extLst>
          <c:ext xmlns:c15="http://schemas.microsoft.com/office/drawing/2012/chart" uri="{02D57815-91ED-43cb-92C2-25804820EDAC}">
            <c15:filteredBarSeries>
              <c15:ser>
                <c:idx val="0"/>
                <c:order val="0"/>
                <c:tx>
                  <c:strRef>
                    <c:extLst>
                      <c:ext uri="{02D57815-91ED-43cb-92C2-25804820EDAC}">
                        <c15:formulaRef>
                          <c15:sqref>Analisis!$B$1</c15:sqref>
                        </c15:formulaRef>
                      </c:ext>
                    </c:extLst>
                    <c:strCache>
                      <c:ptCount val="1"/>
                      <c:pt idx="0">
                        <c:v>Tarea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uri="{02D57815-91ED-43cb-92C2-25804820EDAC}">
                        <c15:formulaRef>
                          <c15:sqref>Analisis!$A$2:$A$5</c15:sqref>
                        </c15:formulaRef>
                      </c:ext>
                    </c:extLst>
                    <c:strCache>
                      <c:ptCount val="4"/>
                      <c:pt idx="0">
                        <c:v>1</c:v>
                      </c:pt>
                      <c:pt idx="1">
                        <c:v>2</c:v>
                      </c:pt>
                      <c:pt idx="2">
                        <c:v>3</c:v>
                      </c:pt>
                      <c:pt idx="3">
                        <c:v>Global</c:v>
                      </c:pt>
                    </c:strCache>
                  </c:strRef>
                </c:cat>
                <c:val>
                  <c:numRef>
                    <c:extLst>
                      <c:ext uri="{02D57815-91ED-43cb-92C2-25804820EDAC}">
                        <c15:formulaRef>
                          <c15:sqref>Analisis!$B$2:$B$5</c15:sqref>
                        </c15:formulaRef>
                      </c:ext>
                    </c:extLst>
                    <c:numCache>
                      <c:formatCode>0</c:formatCode>
                      <c:ptCount val="4"/>
                      <c:pt idx="0">
                        <c:v>256.5</c:v>
                      </c:pt>
                      <c:pt idx="1">
                        <c:v>239.75</c:v>
                      </c:pt>
                      <c:pt idx="2">
                        <c:v>257.5</c:v>
                      </c:pt>
                      <c:pt idx="3">
                        <c:v>251.25</c:v>
                      </c:pt>
                    </c:numCache>
                  </c:numRef>
                </c:val>
                <c:extLst>
                  <c:ext xmlns:c16="http://schemas.microsoft.com/office/drawing/2014/chart" uri="{C3380CC4-5D6E-409C-BE32-E72D297353CC}">
                    <c16:uniqueId val="{00000001-A506-4335-A30E-58CCB02001DE}"/>
                  </c:ext>
                </c:extLst>
              </c15:ser>
            </c15:filteredBarSeries>
            <c15:filteredBarSeries>
              <c15:ser>
                <c:idx val="1"/>
                <c:order val="1"/>
                <c:tx>
                  <c:strRef>
                    <c:extLst>
                      <c:ext xmlns:c15="http://schemas.microsoft.com/office/drawing/2012/chart" uri="{02D57815-91ED-43cb-92C2-25804820EDAC}">
                        <c15:formulaRef>
                          <c15:sqref>Analisis!$C$1</c15:sqref>
                        </c15:formulaRef>
                      </c:ext>
                    </c:extLst>
                    <c:strCache>
                      <c:ptCount val="1"/>
                      <c:pt idx="0">
                        <c:v>Media aciertos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Analisis!$C$2:$C$5</c15:sqref>
                        </c15:formulaRef>
                      </c:ext>
                    </c:extLst>
                    <c:numCache>
                      <c:formatCode>0.0</c:formatCode>
                      <c:ptCount val="4"/>
                      <c:pt idx="0">
                        <c:v>9</c:v>
                      </c:pt>
                      <c:pt idx="1">
                        <c:v>9.75</c:v>
                      </c:pt>
                      <c:pt idx="2">
                        <c:v>9.75</c:v>
                      </c:pt>
                      <c:pt idx="3">
                        <c:v>9.5</c:v>
                      </c:pt>
                    </c:numCache>
                  </c:numRef>
                </c:val>
                <c:extLst xmlns:c15="http://schemas.microsoft.com/office/drawing/2012/chart">
                  <c:ext xmlns:c16="http://schemas.microsoft.com/office/drawing/2014/chart" uri="{C3380CC4-5D6E-409C-BE32-E72D297353CC}">
                    <c16:uniqueId val="{00000002-A506-4335-A30E-58CCB02001DE}"/>
                  </c:ext>
                </c:extLst>
              </c15:ser>
            </c15:filteredBarSeries>
            <c15:filteredBarSeries>
              <c15:ser>
                <c:idx val="2"/>
                <c:order val="2"/>
                <c:tx>
                  <c:strRef>
                    <c:extLst>
                      <c:ext xmlns:c15="http://schemas.microsoft.com/office/drawing/2012/chart" uri="{02D57815-91ED-43cb-92C2-25804820EDAC}">
                        <c15:formulaRef>
                          <c15:sqref>Analisis!$D$1</c15:sqref>
                        </c15:formulaRef>
                      </c:ext>
                    </c:extLst>
                    <c:strCache>
                      <c:ptCount val="1"/>
                      <c:pt idx="0">
                        <c:v>Tarea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Analisis!$D$2:$D$5</c15:sqref>
                        </c15:formulaRef>
                      </c:ext>
                    </c:extLst>
                    <c:numCache>
                      <c:formatCode>0</c:formatCode>
                      <c:ptCount val="4"/>
                      <c:pt idx="0">
                        <c:v>29.5</c:v>
                      </c:pt>
                      <c:pt idx="1">
                        <c:v>47.75</c:v>
                      </c:pt>
                      <c:pt idx="2">
                        <c:v>31.25</c:v>
                      </c:pt>
                      <c:pt idx="3">
                        <c:v>36.166666666666664</c:v>
                      </c:pt>
                    </c:numCache>
                  </c:numRef>
                </c:val>
                <c:extLst xmlns:c15="http://schemas.microsoft.com/office/drawing/2012/chart">
                  <c:ext xmlns:c16="http://schemas.microsoft.com/office/drawing/2014/chart" uri="{C3380CC4-5D6E-409C-BE32-E72D297353CC}">
                    <c16:uniqueId val="{00000003-A506-4335-A30E-58CCB02001DE}"/>
                  </c:ext>
                </c:extLst>
              </c15:ser>
            </c15:filteredBarSeries>
            <c15:filteredBarSeries>
              <c15:ser>
                <c:idx val="3"/>
                <c:order val="3"/>
                <c:tx>
                  <c:strRef>
                    <c:extLst>
                      <c:ext xmlns:c15="http://schemas.microsoft.com/office/drawing/2012/chart" uri="{02D57815-91ED-43cb-92C2-25804820EDAC}">
                        <c15:formulaRef>
                          <c15:sqref>Analisis!$E$1</c15:sqref>
                        </c15:formulaRef>
                      </c:ext>
                    </c:extLst>
                    <c:strCache>
                      <c:ptCount val="1"/>
                      <c:pt idx="0">
                        <c:v>Tarea 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Analisis!$E$2:$E$5</c15:sqref>
                        </c15:formulaRef>
                      </c:ext>
                    </c:extLst>
                    <c:numCache>
                      <c:formatCode>0</c:formatCode>
                      <c:ptCount val="4"/>
                      <c:pt idx="0">
                        <c:v>221.66666666666666</c:v>
                      </c:pt>
                      <c:pt idx="1">
                        <c:v>80</c:v>
                      </c:pt>
                      <c:pt idx="2">
                        <c:v>118.25</c:v>
                      </c:pt>
                      <c:pt idx="3">
                        <c:v>139.9722222222222</c:v>
                      </c:pt>
                    </c:numCache>
                  </c:numRef>
                </c:val>
                <c:extLst xmlns:c15="http://schemas.microsoft.com/office/drawing/2012/chart">
                  <c:ext xmlns:c16="http://schemas.microsoft.com/office/drawing/2014/chart" uri="{C3380CC4-5D6E-409C-BE32-E72D297353CC}">
                    <c16:uniqueId val="{00000000-A506-4335-A30E-58CCB02001DE}"/>
                  </c:ext>
                </c:extLst>
              </c15:ser>
            </c15:filteredBarSeries>
            <c15:filteredBarSeries>
              <c15:ser>
                <c:idx val="5"/>
                <c:order val="5"/>
                <c:tx>
                  <c:strRef>
                    <c:extLst>
                      <c:ext xmlns:c15="http://schemas.microsoft.com/office/drawing/2012/chart" uri="{02D57815-91ED-43cb-92C2-25804820EDAC}">
                        <c15:formulaRef>
                          <c15:sqref>Analisis!$G$1</c15:sqref>
                        </c15:formulaRef>
                      </c:ext>
                    </c:extLst>
                    <c:strCache>
                      <c:ptCount val="1"/>
                      <c:pt idx="0">
                        <c:v>Valoración media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Analisis!$A$2:$A$5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Analisis!$G$2:$G$5</c15:sqref>
                        </c15:formulaRef>
                      </c:ext>
                    </c:extLst>
                    <c:numCache>
                      <c:formatCode>0.0</c:formatCode>
                      <c:ptCount val="4"/>
                      <c:pt idx="0">
                        <c:v>5.5</c:v>
                      </c:pt>
                      <c:pt idx="1">
                        <c:v>8</c:v>
                      </c:pt>
                      <c:pt idx="2">
                        <c:v>8.125</c:v>
                      </c:pt>
                      <c:pt idx="3">
                        <c:v>7.208333333333333</c:v>
                      </c:pt>
                    </c:numCache>
                  </c:numRef>
                </c:val>
                <c:extLst xmlns:c15="http://schemas.microsoft.com/office/drawing/2012/chart">
                  <c:ext xmlns:c16="http://schemas.microsoft.com/office/drawing/2014/chart" uri="{C3380CC4-5D6E-409C-BE32-E72D297353CC}">
                    <c16:uniqueId val="{00000005-A506-4335-A30E-58CCB02001DE}"/>
                  </c:ext>
                </c:extLst>
              </c15:ser>
            </c15:filteredBarSeries>
          </c:ext>
        </c:extLst>
      </c:barChart>
      <c:catAx>
        <c:axId val="128695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0224"/>
        <c:crosses val="autoZero"/>
        <c:auto val="1"/>
        <c:lblAlgn val="ctr"/>
        <c:lblOffset val="100"/>
        <c:noMultiLvlLbl val="0"/>
      </c:catAx>
      <c:valAx>
        <c:axId val="128695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Comparacion</a:t>
            </a:r>
            <a:r>
              <a:rPr lang="en-US" baseline="0"/>
              <a:t> </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optimas</a:t>
            </a:r>
            <a:r>
              <a:rPr lang="en-US" baseline="0"/>
              <a:t> - Tarea 2</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456740284249426E-2"/>
          <c:y val="0.21872774201979939"/>
          <c:w val="0.86798833588512481"/>
          <c:h val="0.52059027891223142"/>
        </c:manualLayout>
      </c:layout>
      <c:barChart>
        <c:barDir val="col"/>
        <c:grouping val="clustered"/>
        <c:varyColors val="0"/>
        <c:ser>
          <c:idx val="3"/>
          <c:order val="3"/>
          <c:tx>
            <c:strRef>
              <c:f>Analisis!$E$21</c:f>
              <c:strCache>
                <c:ptCount val="1"/>
                <c:pt idx="0">
                  <c:v>Programador - T2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Analisis!$A$22:$A$25</c:f>
              <c:strCache>
                <c:ptCount val="4"/>
                <c:pt idx="0">
                  <c:v>1</c:v>
                </c:pt>
                <c:pt idx="1">
                  <c:v>2</c:v>
                </c:pt>
                <c:pt idx="2">
                  <c:v>3</c:v>
                </c:pt>
                <c:pt idx="3">
                  <c:v>Global</c:v>
                </c:pt>
              </c:strCache>
            </c:strRef>
          </c:cat>
          <c:val>
            <c:numRef>
              <c:f>Analisis!$E$22:$E$25</c:f>
              <c:numCache>
                <c:formatCode>0</c:formatCode>
                <c:ptCount val="4"/>
                <c:pt idx="0">
                  <c:v>14</c:v>
                </c:pt>
                <c:pt idx="1">
                  <c:v>7</c:v>
                </c:pt>
                <c:pt idx="2">
                  <c:v>15</c:v>
                </c:pt>
                <c:pt idx="3">
                  <c:v>12</c:v>
                </c:pt>
              </c:numCache>
            </c:numRef>
          </c:val>
          <c:extLst>
            <c:ext xmlns:c16="http://schemas.microsoft.com/office/drawing/2014/chart" uri="{C3380CC4-5D6E-409C-BE32-E72D297353CC}">
              <c16:uniqueId val="{00000003-DB23-4319-909B-80B9F96E4D0F}"/>
            </c:ext>
          </c:extLst>
        </c:ser>
        <c:ser>
          <c:idx val="4"/>
          <c:order val="4"/>
          <c:tx>
            <c:strRef>
              <c:f>Analisis!$F$21</c:f>
              <c:strCache>
                <c:ptCount val="1"/>
                <c:pt idx="0">
                  <c:v>Media Usuarios - T2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Analisis!$A$22:$A$25</c:f>
              <c:strCache>
                <c:ptCount val="4"/>
                <c:pt idx="0">
                  <c:v>1</c:v>
                </c:pt>
                <c:pt idx="1">
                  <c:v>2</c:v>
                </c:pt>
                <c:pt idx="2">
                  <c:v>3</c:v>
                </c:pt>
                <c:pt idx="3">
                  <c:v>Global</c:v>
                </c:pt>
              </c:strCache>
            </c:strRef>
          </c:cat>
          <c:val>
            <c:numRef>
              <c:f>Analisis!$F$22:$F$25</c:f>
              <c:numCache>
                <c:formatCode>0</c:formatCode>
                <c:ptCount val="4"/>
                <c:pt idx="0">
                  <c:v>34.666666666666664</c:v>
                </c:pt>
                <c:pt idx="1">
                  <c:v>61.333333333333336</c:v>
                </c:pt>
                <c:pt idx="2">
                  <c:v>36.666666666666664</c:v>
                </c:pt>
                <c:pt idx="3">
                  <c:v>44.222222222222221</c:v>
                </c:pt>
              </c:numCache>
            </c:numRef>
          </c:val>
          <c:extLst>
            <c:ext xmlns:c16="http://schemas.microsoft.com/office/drawing/2014/chart" uri="{C3380CC4-5D6E-409C-BE32-E72D297353CC}">
              <c16:uniqueId val="{00000004-DB23-4319-909B-80B9F96E4D0F}"/>
            </c:ext>
          </c:extLst>
        </c:ser>
        <c:dLbls>
          <c:dLblPos val="inEnd"/>
          <c:showLegendKey val="0"/>
          <c:showVal val="1"/>
          <c:showCatName val="0"/>
          <c:showSerName val="0"/>
          <c:showPercent val="0"/>
          <c:showBubbleSize val="0"/>
        </c:dLbls>
        <c:gapWidth val="100"/>
        <c:overlap val="-24"/>
        <c:axId val="1286951184"/>
        <c:axId val="1286950224"/>
        <c:extLst>
          <c:ext xmlns:c15="http://schemas.microsoft.com/office/drawing/2012/chart" uri="{02D57815-91ED-43cb-92C2-25804820EDAC}">
            <c15:filteredBarSeries>
              <c15:ser>
                <c:idx val="0"/>
                <c:order val="0"/>
                <c:tx>
                  <c:strRef>
                    <c:extLst>
                      <c:ext uri="{02D57815-91ED-43cb-92C2-25804820EDAC}">
                        <c15:formulaRef>
                          <c15:sqref>Analisis!$B$21</c15:sqref>
                        </c15:formulaRef>
                      </c:ext>
                    </c:extLst>
                    <c:strCache>
                      <c:ptCount val="1"/>
                      <c:pt idx="0">
                        <c:v>Programador - T1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Analisis!$A$22:$A$25</c15:sqref>
                        </c15:formulaRef>
                      </c:ext>
                    </c:extLst>
                    <c:strCache>
                      <c:ptCount val="4"/>
                      <c:pt idx="0">
                        <c:v>1</c:v>
                      </c:pt>
                      <c:pt idx="1">
                        <c:v>2</c:v>
                      </c:pt>
                      <c:pt idx="2">
                        <c:v>3</c:v>
                      </c:pt>
                      <c:pt idx="3">
                        <c:v>Global</c:v>
                      </c:pt>
                    </c:strCache>
                  </c:strRef>
                </c:cat>
                <c:val>
                  <c:numRef>
                    <c:extLst>
                      <c:ext uri="{02D57815-91ED-43cb-92C2-25804820EDAC}">
                        <c15:formulaRef>
                          <c15:sqref>Analisis!$B$22:$B$25</c15:sqref>
                        </c15:formulaRef>
                      </c:ext>
                    </c:extLst>
                    <c:numCache>
                      <c:formatCode>0</c:formatCode>
                      <c:ptCount val="4"/>
                      <c:pt idx="0">
                        <c:v>135</c:v>
                      </c:pt>
                      <c:pt idx="1">
                        <c:v>100</c:v>
                      </c:pt>
                      <c:pt idx="2">
                        <c:v>164</c:v>
                      </c:pt>
                      <c:pt idx="3">
                        <c:v>133</c:v>
                      </c:pt>
                    </c:numCache>
                  </c:numRef>
                </c:val>
                <c:extLst>
                  <c:ext xmlns:c16="http://schemas.microsoft.com/office/drawing/2014/chart" uri="{C3380CC4-5D6E-409C-BE32-E72D297353CC}">
                    <c16:uniqueId val="{00000000-DB23-4319-909B-80B9F96E4D0F}"/>
                  </c:ext>
                </c:extLst>
              </c15:ser>
            </c15:filteredBarSeries>
            <c15:filteredBarSeries>
              <c15:ser>
                <c:idx val="1"/>
                <c:order val="1"/>
                <c:tx>
                  <c:strRef>
                    <c:extLst>
                      <c:ext xmlns:c15="http://schemas.microsoft.com/office/drawing/2012/chart" uri="{02D57815-91ED-43cb-92C2-25804820EDAC}">
                        <c15:formulaRef>
                          <c15:sqref>Analisis!$C$21</c15:sqref>
                        </c15:formulaRef>
                      </c:ext>
                    </c:extLst>
                    <c:strCache>
                      <c:ptCount val="1"/>
                      <c:pt idx="0">
                        <c:v>Media Usuarios - T1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Analisis!$C$22:$C$25</c15:sqref>
                        </c15:formulaRef>
                      </c:ext>
                    </c:extLst>
                    <c:numCache>
                      <c:formatCode>0</c:formatCode>
                      <c:ptCount val="4"/>
                      <c:pt idx="0">
                        <c:v>297</c:v>
                      </c:pt>
                      <c:pt idx="1">
                        <c:v>286.33333333333331</c:v>
                      </c:pt>
                      <c:pt idx="2">
                        <c:v>288.66666666666669</c:v>
                      </c:pt>
                      <c:pt idx="3">
                        <c:v>290.66666666666669</c:v>
                      </c:pt>
                    </c:numCache>
                  </c:numRef>
                </c:val>
                <c:extLst xmlns:c15="http://schemas.microsoft.com/office/drawing/2012/chart">
                  <c:ext xmlns:c16="http://schemas.microsoft.com/office/drawing/2014/chart" uri="{C3380CC4-5D6E-409C-BE32-E72D297353CC}">
                    <c16:uniqueId val="{00000001-DB23-4319-909B-80B9F96E4D0F}"/>
                  </c:ext>
                </c:extLst>
              </c15:ser>
            </c15:filteredBarSeries>
            <c15:filteredBarSeries>
              <c15:ser>
                <c:idx val="2"/>
                <c:order val="2"/>
                <c:tx>
                  <c:strRef>
                    <c:extLst>
                      <c:ext xmlns:c15="http://schemas.microsoft.com/office/drawing/2012/chart" uri="{02D57815-91ED-43cb-92C2-25804820EDAC}">
                        <c15:formulaRef>
                          <c15:sqref>Analisis!$D$21</c15:sqref>
                        </c15:formulaRef>
                      </c:ext>
                    </c:extLst>
                    <c:strCache>
                      <c:ptCount val="1"/>
                      <c:pt idx="0">
                        <c:v>Similitud - T1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Analisis!$D$22:$D$25</c15:sqref>
                        </c15:formulaRef>
                      </c:ext>
                    </c:extLst>
                    <c:numCache>
                      <c:formatCode>0%</c:formatCode>
                      <c:ptCount val="4"/>
                      <c:pt idx="0">
                        <c:v>0.45454545454545453</c:v>
                      </c:pt>
                      <c:pt idx="1">
                        <c:v>0.34924330616996507</c:v>
                      </c:pt>
                      <c:pt idx="2">
                        <c:v>0.56812933025404155</c:v>
                      </c:pt>
                      <c:pt idx="3">
                        <c:v>0.45756880733944949</c:v>
                      </c:pt>
                    </c:numCache>
                  </c:numRef>
                </c:val>
                <c:extLst xmlns:c15="http://schemas.microsoft.com/office/drawing/2012/chart">
                  <c:ext xmlns:c16="http://schemas.microsoft.com/office/drawing/2014/chart" uri="{C3380CC4-5D6E-409C-BE32-E72D297353CC}">
                    <c16:uniqueId val="{00000002-DB23-4319-909B-80B9F96E4D0F}"/>
                  </c:ext>
                </c:extLst>
              </c15:ser>
            </c15:filteredBarSeries>
            <c15:filteredBarSeries>
              <c15:ser>
                <c:idx val="5"/>
                <c:order val="5"/>
                <c:tx>
                  <c:strRef>
                    <c:extLst>
                      <c:ext xmlns:c15="http://schemas.microsoft.com/office/drawing/2012/chart" uri="{02D57815-91ED-43cb-92C2-25804820EDAC}">
                        <c15:formulaRef>
                          <c15:sqref>Analisis!$G$21</c15:sqref>
                        </c15:formulaRef>
                      </c:ext>
                    </c:extLst>
                    <c:strCache>
                      <c:ptCount val="1"/>
                      <c:pt idx="0">
                        <c:v>Similitud - T2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Analisis!$G$22:$G$25</c15:sqref>
                        </c15:formulaRef>
                      </c:ext>
                    </c:extLst>
                    <c:numCache>
                      <c:formatCode>0%</c:formatCode>
                      <c:ptCount val="4"/>
                      <c:pt idx="0">
                        <c:v>0.40384615384615385</c:v>
                      </c:pt>
                      <c:pt idx="1">
                        <c:v>0.11413043478260869</c:v>
                      </c:pt>
                      <c:pt idx="2">
                        <c:v>0.40909090909090912</c:v>
                      </c:pt>
                      <c:pt idx="3">
                        <c:v>0.271356783919598</c:v>
                      </c:pt>
                    </c:numCache>
                  </c:numRef>
                </c:val>
                <c:extLst xmlns:c15="http://schemas.microsoft.com/office/drawing/2012/chart">
                  <c:ext xmlns:c16="http://schemas.microsoft.com/office/drawing/2014/chart" uri="{C3380CC4-5D6E-409C-BE32-E72D297353CC}">
                    <c16:uniqueId val="{00000005-DB23-4319-909B-80B9F96E4D0F}"/>
                  </c:ext>
                </c:extLst>
              </c15:ser>
            </c15:filteredBarSeries>
            <c15:filteredBarSeries>
              <c15:ser>
                <c:idx val="6"/>
                <c:order val="6"/>
                <c:tx>
                  <c:strRef>
                    <c:extLst>
                      <c:ext xmlns:c15="http://schemas.microsoft.com/office/drawing/2012/chart" uri="{02D57815-91ED-43cb-92C2-25804820EDAC}">
                        <c15:formulaRef>
                          <c15:sqref>Analisis!$H$21</c15:sqref>
                        </c15:formulaRef>
                      </c:ext>
                    </c:extLst>
                    <c:strCache>
                      <c:ptCount val="1"/>
                      <c:pt idx="0">
                        <c:v>Programador - T3</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Analisis!$H$22:$H$25</c15:sqref>
                        </c15:formulaRef>
                      </c:ext>
                    </c:extLst>
                    <c:numCache>
                      <c:formatCode>0</c:formatCode>
                      <c:ptCount val="4"/>
                      <c:pt idx="0">
                        <c:v>57</c:v>
                      </c:pt>
                      <c:pt idx="1">
                        <c:v>77</c:v>
                      </c:pt>
                      <c:pt idx="2">
                        <c:v>97</c:v>
                      </c:pt>
                      <c:pt idx="3">
                        <c:v>77</c:v>
                      </c:pt>
                    </c:numCache>
                  </c:numRef>
                </c:val>
                <c:extLst xmlns:c15="http://schemas.microsoft.com/office/drawing/2012/chart">
                  <c:ext xmlns:c16="http://schemas.microsoft.com/office/drawing/2014/chart" uri="{C3380CC4-5D6E-409C-BE32-E72D297353CC}">
                    <c16:uniqueId val="{00000006-DB23-4319-909B-80B9F96E4D0F}"/>
                  </c:ext>
                </c:extLst>
              </c15:ser>
            </c15:filteredBarSeries>
            <c15:filteredBarSeries>
              <c15:ser>
                <c:idx val="7"/>
                <c:order val="7"/>
                <c:tx>
                  <c:strRef>
                    <c:extLst>
                      <c:ext xmlns:c15="http://schemas.microsoft.com/office/drawing/2012/chart" uri="{02D57815-91ED-43cb-92C2-25804820EDAC}">
                        <c15:formulaRef>
                          <c15:sqref>Analisis!$I$21</c15:sqref>
                        </c15:formulaRef>
                      </c:ext>
                    </c:extLst>
                    <c:strCache>
                      <c:ptCount val="1"/>
                      <c:pt idx="0">
                        <c:v>Media Usuarios - T3</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Analisis!$I$22:$I$25</c15:sqref>
                        </c15:formulaRef>
                      </c:ext>
                    </c:extLst>
                    <c:numCache>
                      <c:formatCode>0</c:formatCode>
                      <c:ptCount val="4"/>
                      <c:pt idx="0">
                        <c:v>304</c:v>
                      </c:pt>
                      <c:pt idx="1">
                        <c:v>81</c:v>
                      </c:pt>
                      <c:pt idx="2">
                        <c:v>125.33333333333333</c:v>
                      </c:pt>
                      <c:pt idx="3">
                        <c:v>170.11111111111111</c:v>
                      </c:pt>
                    </c:numCache>
                  </c:numRef>
                </c:val>
                <c:extLst xmlns:c15="http://schemas.microsoft.com/office/drawing/2012/chart">
                  <c:ext xmlns:c16="http://schemas.microsoft.com/office/drawing/2014/chart" uri="{C3380CC4-5D6E-409C-BE32-E72D297353CC}">
                    <c16:uniqueId val="{00000007-DB23-4319-909B-80B9F96E4D0F}"/>
                  </c:ext>
                </c:extLst>
              </c15:ser>
            </c15:filteredBarSeries>
            <c15:filteredBarSeries>
              <c15:ser>
                <c:idx val="8"/>
                <c:order val="8"/>
                <c:tx>
                  <c:strRef>
                    <c:extLst>
                      <c:ext xmlns:c15="http://schemas.microsoft.com/office/drawing/2012/chart" uri="{02D57815-91ED-43cb-92C2-25804820EDAC}">
                        <c15:formulaRef>
                          <c15:sqref>Analisis!$J$21</c15:sqref>
                        </c15:formulaRef>
                      </c:ext>
                    </c:extLst>
                    <c:strCache>
                      <c:ptCount val="1"/>
                      <c:pt idx="0">
                        <c:v>Similitud - T3</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Analisis!$J$22:$J$25</c15:sqref>
                        </c15:formulaRef>
                      </c:ext>
                    </c:extLst>
                    <c:numCache>
                      <c:formatCode>0%</c:formatCode>
                      <c:ptCount val="4"/>
                      <c:pt idx="0">
                        <c:v>0.1875</c:v>
                      </c:pt>
                      <c:pt idx="1">
                        <c:v>0.95061728395061729</c:v>
                      </c:pt>
                      <c:pt idx="2">
                        <c:v>0.77393617021276595</c:v>
                      </c:pt>
                      <c:pt idx="3">
                        <c:v>0.45264532984977141</c:v>
                      </c:pt>
                    </c:numCache>
                  </c:numRef>
                </c:val>
                <c:extLst xmlns:c15="http://schemas.microsoft.com/office/drawing/2012/chart">
                  <c:ext xmlns:c16="http://schemas.microsoft.com/office/drawing/2014/chart" uri="{C3380CC4-5D6E-409C-BE32-E72D297353CC}">
                    <c16:uniqueId val="{00000008-DB23-4319-909B-80B9F96E4D0F}"/>
                  </c:ext>
                </c:extLst>
              </c15:ser>
            </c15:filteredBarSeries>
            <c15:filteredBarSeries>
              <c15:ser>
                <c:idx val="9"/>
                <c:order val="9"/>
                <c:tx>
                  <c:strRef>
                    <c:extLst>
                      <c:ext xmlns:c15="http://schemas.microsoft.com/office/drawing/2012/chart" uri="{02D57815-91ED-43cb-92C2-25804820EDAC}">
                        <c15:formulaRef>
                          <c15:sqref>Analisis!$K$21</c15:sqref>
                        </c15:formulaRef>
                      </c:ext>
                    </c:extLst>
                    <c:strCache>
                      <c:ptCount val="1"/>
                      <c:pt idx="0">
                        <c:v>Programador - Total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Analisis!$K$22:$K$25</c15:sqref>
                        </c15:formulaRef>
                      </c:ext>
                    </c:extLst>
                    <c:numCache>
                      <c:formatCode>0</c:formatCode>
                      <c:ptCount val="4"/>
                      <c:pt idx="0">
                        <c:v>206</c:v>
                      </c:pt>
                      <c:pt idx="1">
                        <c:v>184</c:v>
                      </c:pt>
                      <c:pt idx="2">
                        <c:v>276</c:v>
                      </c:pt>
                      <c:pt idx="3">
                        <c:v>222</c:v>
                      </c:pt>
                    </c:numCache>
                  </c:numRef>
                </c:val>
                <c:extLst xmlns:c15="http://schemas.microsoft.com/office/drawing/2012/chart">
                  <c:ext xmlns:c16="http://schemas.microsoft.com/office/drawing/2014/chart" uri="{C3380CC4-5D6E-409C-BE32-E72D297353CC}">
                    <c16:uniqueId val="{00000009-DB23-4319-909B-80B9F96E4D0F}"/>
                  </c:ext>
                </c:extLst>
              </c15:ser>
            </c15:filteredBarSeries>
            <c15:filteredBarSeries>
              <c15:ser>
                <c:idx val="10"/>
                <c:order val="10"/>
                <c:tx>
                  <c:strRef>
                    <c:extLst>
                      <c:ext xmlns:c15="http://schemas.microsoft.com/office/drawing/2012/chart" uri="{02D57815-91ED-43cb-92C2-25804820EDAC}">
                        <c15:formulaRef>
                          <c15:sqref>Analisis!$L$21</c15:sqref>
                        </c15:formulaRef>
                      </c:ext>
                    </c:extLst>
                    <c:strCache>
                      <c:ptCount val="1"/>
                      <c:pt idx="0">
                        <c:v>Media Usuarios - Total</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Analisis!$L$22:$L$25</c15:sqref>
                        </c15:formulaRef>
                      </c:ext>
                    </c:extLst>
                    <c:numCache>
                      <c:formatCode>0</c:formatCode>
                      <c:ptCount val="4"/>
                      <c:pt idx="0">
                        <c:v>635.66666666666674</c:v>
                      </c:pt>
                      <c:pt idx="1">
                        <c:v>428.66666666666663</c:v>
                      </c:pt>
                      <c:pt idx="2">
                        <c:v>450.66666666666669</c:v>
                      </c:pt>
                      <c:pt idx="3">
                        <c:v>505.00000000000006</c:v>
                      </c:pt>
                    </c:numCache>
                  </c:numRef>
                </c:val>
                <c:extLst xmlns:c15="http://schemas.microsoft.com/office/drawing/2012/chart">
                  <c:ext xmlns:c16="http://schemas.microsoft.com/office/drawing/2014/chart" uri="{C3380CC4-5D6E-409C-BE32-E72D297353CC}">
                    <c16:uniqueId val="{0000000A-DB23-4319-909B-80B9F96E4D0F}"/>
                  </c:ext>
                </c:extLst>
              </c15:ser>
            </c15:filteredBarSeries>
            <c15:filteredBarSeries>
              <c15:ser>
                <c:idx val="11"/>
                <c:order val="11"/>
                <c:tx>
                  <c:strRef>
                    <c:extLst>
                      <c:ext xmlns:c15="http://schemas.microsoft.com/office/drawing/2012/chart" uri="{02D57815-91ED-43cb-92C2-25804820EDAC}">
                        <c15:formulaRef>
                          <c15:sqref>Analisis!$M$21</c15:sqref>
                        </c15:formulaRef>
                      </c:ext>
                    </c:extLst>
                    <c:strCache>
                      <c:ptCount val="1"/>
                      <c:pt idx="0">
                        <c:v>Similitud - Total</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Analisis!$M$22:$M$25</c15:sqref>
                        </c15:formulaRef>
                      </c:ext>
                    </c:extLst>
                    <c:numCache>
                      <c:formatCode>0%</c:formatCode>
                      <c:ptCount val="4"/>
                      <c:pt idx="0">
                        <c:v>0.32406921866806498</c:v>
                      </c:pt>
                      <c:pt idx="1">
                        <c:v>0.42923794712286162</c:v>
                      </c:pt>
                      <c:pt idx="2">
                        <c:v>0.6124260355029586</c:v>
                      </c:pt>
                      <c:pt idx="3">
                        <c:v>0.43960396039603955</c:v>
                      </c:pt>
                    </c:numCache>
                  </c:numRef>
                </c:val>
                <c:extLst xmlns:c15="http://schemas.microsoft.com/office/drawing/2012/chart">
                  <c:ext xmlns:c16="http://schemas.microsoft.com/office/drawing/2014/chart" uri="{C3380CC4-5D6E-409C-BE32-E72D297353CC}">
                    <c16:uniqueId val="{0000000B-DB23-4319-909B-80B9F96E4D0F}"/>
                  </c:ext>
                </c:extLst>
              </c15:ser>
            </c15:filteredBarSeries>
          </c:ext>
        </c:extLst>
      </c:barChart>
      <c:catAx>
        <c:axId val="128695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0224"/>
        <c:crosses val="autoZero"/>
        <c:auto val="1"/>
        <c:lblAlgn val="ctr"/>
        <c:lblOffset val="100"/>
        <c:noMultiLvlLbl val="0"/>
      </c:catAx>
      <c:valAx>
        <c:axId val="128695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1184"/>
        <c:crosses val="autoZero"/>
        <c:crossBetween val="between"/>
      </c:valAx>
      <c:spPr>
        <a:noFill/>
        <a:ln>
          <a:noFill/>
        </a:ln>
        <a:effectLst/>
      </c:spPr>
    </c:plotArea>
    <c:legend>
      <c:legendPos val="r"/>
      <c:layout>
        <c:manualLayout>
          <c:xMode val="edge"/>
          <c:yMode val="edge"/>
          <c:x val="0"/>
          <c:y val="0.80092614979144217"/>
          <c:w val="0.99970755214135099"/>
          <c:h val="0.18672329859182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Comparacion</a:t>
            </a:r>
            <a:r>
              <a:rPr lang="en-US" baseline="0"/>
              <a:t> </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optimas</a:t>
            </a:r>
            <a:r>
              <a:rPr lang="en-US" baseline="0"/>
              <a:t> - Tarea 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456740284249426E-2"/>
          <c:y val="0.21872774201979939"/>
          <c:w val="0.86798833588512481"/>
          <c:h val="0.52059027891223142"/>
        </c:manualLayout>
      </c:layout>
      <c:barChart>
        <c:barDir val="col"/>
        <c:grouping val="clustered"/>
        <c:varyColors val="0"/>
        <c:ser>
          <c:idx val="6"/>
          <c:order val="6"/>
          <c:tx>
            <c:strRef>
              <c:f>Analisis!$H$21</c:f>
              <c:strCache>
                <c:ptCount val="1"/>
                <c:pt idx="0">
                  <c:v>Programador - T3</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Analisis!$A$22:$A$25</c:f>
              <c:strCache>
                <c:ptCount val="4"/>
                <c:pt idx="0">
                  <c:v>1</c:v>
                </c:pt>
                <c:pt idx="1">
                  <c:v>2</c:v>
                </c:pt>
                <c:pt idx="2">
                  <c:v>3</c:v>
                </c:pt>
                <c:pt idx="3">
                  <c:v>Global</c:v>
                </c:pt>
              </c:strCache>
            </c:strRef>
          </c:cat>
          <c:val>
            <c:numRef>
              <c:f>Analisis!$H$22:$H$25</c:f>
              <c:numCache>
                <c:formatCode>0</c:formatCode>
                <c:ptCount val="4"/>
                <c:pt idx="0">
                  <c:v>57</c:v>
                </c:pt>
                <c:pt idx="1">
                  <c:v>77</c:v>
                </c:pt>
                <c:pt idx="2">
                  <c:v>97</c:v>
                </c:pt>
                <c:pt idx="3">
                  <c:v>77</c:v>
                </c:pt>
              </c:numCache>
            </c:numRef>
          </c:val>
          <c:extLst>
            <c:ext xmlns:c16="http://schemas.microsoft.com/office/drawing/2014/chart" uri="{C3380CC4-5D6E-409C-BE32-E72D297353CC}">
              <c16:uniqueId val="{00000006-5525-4A53-AE24-155A77CD0C42}"/>
            </c:ext>
          </c:extLst>
        </c:ser>
        <c:ser>
          <c:idx val="7"/>
          <c:order val="7"/>
          <c:tx>
            <c:strRef>
              <c:f>Analisis!$I$21</c:f>
              <c:strCache>
                <c:ptCount val="1"/>
                <c:pt idx="0">
                  <c:v>Media Usuarios - T3</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Analisis!$A$22:$A$25</c:f>
              <c:strCache>
                <c:ptCount val="4"/>
                <c:pt idx="0">
                  <c:v>1</c:v>
                </c:pt>
                <c:pt idx="1">
                  <c:v>2</c:v>
                </c:pt>
                <c:pt idx="2">
                  <c:v>3</c:v>
                </c:pt>
                <c:pt idx="3">
                  <c:v>Global</c:v>
                </c:pt>
              </c:strCache>
            </c:strRef>
          </c:cat>
          <c:val>
            <c:numRef>
              <c:f>Analisis!$I$22:$I$25</c:f>
              <c:numCache>
                <c:formatCode>0</c:formatCode>
                <c:ptCount val="4"/>
                <c:pt idx="0">
                  <c:v>304</c:v>
                </c:pt>
                <c:pt idx="1">
                  <c:v>81</c:v>
                </c:pt>
                <c:pt idx="2">
                  <c:v>125.33333333333333</c:v>
                </c:pt>
                <c:pt idx="3">
                  <c:v>170.11111111111111</c:v>
                </c:pt>
              </c:numCache>
            </c:numRef>
          </c:val>
          <c:extLst>
            <c:ext xmlns:c16="http://schemas.microsoft.com/office/drawing/2014/chart" uri="{C3380CC4-5D6E-409C-BE32-E72D297353CC}">
              <c16:uniqueId val="{00000007-5525-4A53-AE24-155A77CD0C42}"/>
            </c:ext>
          </c:extLst>
        </c:ser>
        <c:dLbls>
          <c:dLblPos val="inEnd"/>
          <c:showLegendKey val="0"/>
          <c:showVal val="1"/>
          <c:showCatName val="0"/>
          <c:showSerName val="0"/>
          <c:showPercent val="0"/>
          <c:showBubbleSize val="0"/>
        </c:dLbls>
        <c:gapWidth val="100"/>
        <c:overlap val="-24"/>
        <c:axId val="1286951184"/>
        <c:axId val="1286950224"/>
        <c:extLst>
          <c:ext xmlns:c15="http://schemas.microsoft.com/office/drawing/2012/chart" uri="{02D57815-91ED-43cb-92C2-25804820EDAC}">
            <c15:filteredBarSeries>
              <c15:ser>
                <c:idx val="0"/>
                <c:order val="0"/>
                <c:tx>
                  <c:strRef>
                    <c:extLst>
                      <c:ext uri="{02D57815-91ED-43cb-92C2-25804820EDAC}">
                        <c15:formulaRef>
                          <c15:sqref>Analisis!$B$21</c15:sqref>
                        </c15:formulaRef>
                      </c:ext>
                    </c:extLst>
                    <c:strCache>
                      <c:ptCount val="1"/>
                      <c:pt idx="0">
                        <c:v>Programador - T1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Analisis!$A$22:$A$25</c15:sqref>
                        </c15:formulaRef>
                      </c:ext>
                    </c:extLst>
                    <c:strCache>
                      <c:ptCount val="4"/>
                      <c:pt idx="0">
                        <c:v>1</c:v>
                      </c:pt>
                      <c:pt idx="1">
                        <c:v>2</c:v>
                      </c:pt>
                      <c:pt idx="2">
                        <c:v>3</c:v>
                      </c:pt>
                      <c:pt idx="3">
                        <c:v>Global</c:v>
                      </c:pt>
                    </c:strCache>
                  </c:strRef>
                </c:cat>
                <c:val>
                  <c:numRef>
                    <c:extLst>
                      <c:ext uri="{02D57815-91ED-43cb-92C2-25804820EDAC}">
                        <c15:formulaRef>
                          <c15:sqref>Analisis!$B$22:$B$25</c15:sqref>
                        </c15:formulaRef>
                      </c:ext>
                    </c:extLst>
                    <c:numCache>
                      <c:formatCode>0</c:formatCode>
                      <c:ptCount val="4"/>
                      <c:pt idx="0">
                        <c:v>135</c:v>
                      </c:pt>
                      <c:pt idx="1">
                        <c:v>100</c:v>
                      </c:pt>
                      <c:pt idx="2">
                        <c:v>164</c:v>
                      </c:pt>
                      <c:pt idx="3">
                        <c:v>133</c:v>
                      </c:pt>
                    </c:numCache>
                  </c:numRef>
                </c:val>
                <c:extLst>
                  <c:ext xmlns:c16="http://schemas.microsoft.com/office/drawing/2014/chart" uri="{C3380CC4-5D6E-409C-BE32-E72D297353CC}">
                    <c16:uniqueId val="{00000000-5525-4A53-AE24-155A77CD0C42}"/>
                  </c:ext>
                </c:extLst>
              </c15:ser>
            </c15:filteredBarSeries>
            <c15:filteredBarSeries>
              <c15:ser>
                <c:idx val="1"/>
                <c:order val="1"/>
                <c:tx>
                  <c:strRef>
                    <c:extLst>
                      <c:ext xmlns:c15="http://schemas.microsoft.com/office/drawing/2012/chart" uri="{02D57815-91ED-43cb-92C2-25804820EDAC}">
                        <c15:formulaRef>
                          <c15:sqref>Analisis!$C$21</c15:sqref>
                        </c15:formulaRef>
                      </c:ext>
                    </c:extLst>
                    <c:strCache>
                      <c:ptCount val="1"/>
                      <c:pt idx="0">
                        <c:v>Media Usuarios - T1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Analisis!$C$22:$C$25</c15:sqref>
                        </c15:formulaRef>
                      </c:ext>
                    </c:extLst>
                    <c:numCache>
                      <c:formatCode>0</c:formatCode>
                      <c:ptCount val="4"/>
                      <c:pt idx="0">
                        <c:v>297</c:v>
                      </c:pt>
                      <c:pt idx="1">
                        <c:v>286.33333333333331</c:v>
                      </c:pt>
                      <c:pt idx="2">
                        <c:v>288.66666666666669</c:v>
                      </c:pt>
                      <c:pt idx="3">
                        <c:v>290.66666666666669</c:v>
                      </c:pt>
                    </c:numCache>
                  </c:numRef>
                </c:val>
                <c:extLst xmlns:c15="http://schemas.microsoft.com/office/drawing/2012/chart">
                  <c:ext xmlns:c16="http://schemas.microsoft.com/office/drawing/2014/chart" uri="{C3380CC4-5D6E-409C-BE32-E72D297353CC}">
                    <c16:uniqueId val="{00000001-5525-4A53-AE24-155A77CD0C42}"/>
                  </c:ext>
                </c:extLst>
              </c15:ser>
            </c15:filteredBarSeries>
            <c15:filteredBarSeries>
              <c15:ser>
                <c:idx val="2"/>
                <c:order val="2"/>
                <c:tx>
                  <c:strRef>
                    <c:extLst>
                      <c:ext xmlns:c15="http://schemas.microsoft.com/office/drawing/2012/chart" uri="{02D57815-91ED-43cb-92C2-25804820EDAC}">
                        <c15:formulaRef>
                          <c15:sqref>Analisis!$D$21</c15:sqref>
                        </c15:formulaRef>
                      </c:ext>
                    </c:extLst>
                    <c:strCache>
                      <c:ptCount val="1"/>
                      <c:pt idx="0">
                        <c:v>Similitud - T1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Analisis!$D$22:$D$25</c15:sqref>
                        </c15:formulaRef>
                      </c:ext>
                    </c:extLst>
                    <c:numCache>
                      <c:formatCode>0%</c:formatCode>
                      <c:ptCount val="4"/>
                      <c:pt idx="0">
                        <c:v>0.45454545454545453</c:v>
                      </c:pt>
                      <c:pt idx="1">
                        <c:v>0.34924330616996507</c:v>
                      </c:pt>
                      <c:pt idx="2">
                        <c:v>0.56812933025404155</c:v>
                      </c:pt>
                      <c:pt idx="3">
                        <c:v>0.45756880733944949</c:v>
                      </c:pt>
                    </c:numCache>
                  </c:numRef>
                </c:val>
                <c:extLst xmlns:c15="http://schemas.microsoft.com/office/drawing/2012/chart">
                  <c:ext xmlns:c16="http://schemas.microsoft.com/office/drawing/2014/chart" uri="{C3380CC4-5D6E-409C-BE32-E72D297353CC}">
                    <c16:uniqueId val="{00000002-5525-4A53-AE24-155A77CD0C42}"/>
                  </c:ext>
                </c:extLst>
              </c15:ser>
            </c15:filteredBarSeries>
            <c15:filteredBarSeries>
              <c15:ser>
                <c:idx val="3"/>
                <c:order val="3"/>
                <c:tx>
                  <c:strRef>
                    <c:extLst>
                      <c:ext xmlns:c15="http://schemas.microsoft.com/office/drawing/2012/chart" uri="{02D57815-91ED-43cb-92C2-25804820EDAC}">
                        <c15:formulaRef>
                          <c15:sqref>Analisis!$E$21</c15:sqref>
                        </c15:formulaRef>
                      </c:ext>
                    </c:extLst>
                    <c:strCache>
                      <c:ptCount val="1"/>
                      <c:pt idx="0">
                        <c:v>Programador - T2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Analisis!$E$22:$E$25</c15:sqref>
                        </c15:formulaRef>
                      </c:ext>
                    </c:extLst>
                    <c:numCache>
                      <c:formatCode>0</c:formatCode>
                      <c:ptCount val="4"/>
                      <c:pt idx="0">
                        <c:v>14</c:v>
                      </c:pt>
                      <c:pt idx="1">
                        <c:v>7</c:v>
                      </c:pt>
                      <c:pt idx="2">
                        <c:v>15</c:v>
                      </c:pt>
                      <c:pt idx="3">
                        <c:v>12</c:v>
                      </c:pt>
                    </c:numCache>
                  </c:numRef>
                </c:val>
                <c:extLst xmlns:c15="http://schemas.microsoft.com/office/drawing/2012/chart">
                  <c:ext xmlns:c16="http://schemas.microsoft.com/office/drawing/2014/chart" uri="{C3380CC4-5D6E-409C-BE32-E72D297353CC}">
                    <c16:uniqueId val="{00000003-5525-4A53-AE24-155A77CD0C42}"/>
                  </c:ext>
                </c:extLst>
              </c15:ser>
            </c15:filteredBarSeries>
            <c15:filteredBarSeries>
              <c15:ser>
                <c:idx val="4"/>
                <c:order val="4"/>
                <c:tx>
                  <c:strRef>
                    <c:extLst>
                      <c:ext xmlns:c15="http://schemas.microsoft.com/office/drawing/2012/chart" uri="{02D57815-91ED-43cb-92C2-25804820EDAC}">
                        <c15:formulaRef>
                          <c15:sqref>Analisis!$F$21</c15:sqref>
                        </c15:formulaRef>
                      </c:ext>
                    </c:extLst>
                    <c:strCache>
                      <c:ptCount val="1"/>
                      <c:pt idx="0">
                        <c:v>Media Usuarios - T2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Analisis!$F$22:$F$25</c15:sqref>
                        </c15:formulaRef>
                      </c:ext>
                    </c:extLst>
                    <c:numCache>
                      <c:formatCode>0</c:formatCode>
                      <c:ptCount val="4"/>
                      <c:pt idx="0">
                        <c:v>34.666666666666664</c:v>
                      </c:pt>
                      <c:pt idx="1">
                        <c:v>61.333333333333336</c:v>
                      </c:pt>
                      <c:pt idx="2">
                        <c:v>36.666666666666664</c:v>
                      </c:pt>
                      <c:pt idx="3">
                        <c:v>44.222222222222221</c:v>
                      </c:pt>
                    </c:numCache>
                  </c:numRef>
                </c:val>
                <c:extLst xmlns:c15="http://schemas.microsoft.com/office/drawing/2012/chart">
                  <c:ext xmlns:c16="http://schemas.microsoft.com/office/drawing/2014/chart" uri="{C3380CC4-5D6E-409C-BE32-E72D297353CC}">
                    <c16:uniqueId val="{00000004-5525-4A53-AE24-155A77CD0C42}"/>
                  </c:ext>
                </c:extLst>
              </c15:ser>
            </c15:filteredBarSeries>
            <c15:filteredBarSeries>
              <c15:ser>
                <c:idx val="5"/>
                <c:order val="5"/>
                <c:tx>
                  <c:strRef>
                    <c:extLst>
                      <c:ext xmlns:c15="http://schemas.microsoft.com/office/drawing/2012/chart" uri="{02D57815-91ED-43cb-92C2-25804820EDAC}">
                        <c15:formulaRef>
                          <c15:sqref>Analisis!$G$21</c15:sqref>
                        </c15:formulaRef>
                      </c:ext>
                    </c:extLst>
                    <c:strCache>
                      <c:ptCount val="1"/>
                      <c:pt idx="0">
                        <c:v>Similitud - T2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Analisis!$G$22:$G$25</c15:sqref>
                        </c15:formulaRef>
                      </c:ext>
                    </c:extLst>
                    <c:numCache>
                      <c:formatCode>0%</c:formatCode>
                      <c:ptCount val="4"/>
                      <c:pt idx="0">
                        <c:v>0.40384615384615385</c:v>
                      </c:pt>
                      <c:pt idx="1">
                        <c:v>0.11413043478260869</c:v>
                      </c:pt>
                      <c:pt idx="2">
                        <c:v>0.40909090909090912</c:v>
                      </c:pt>
                      <c:pt idx="3">
                        <c:v>0.271356783919598</c:v>
                      </c:pt>
                    </c:numCache>
                  </c:numRef>
                </c:val>
                <c:extLst xmlns:c15="http://schemas.microsoft.com/office/drawing/2012/chart">
                  <c:ext xmlns:c16="http://schemas.microsoft.com/office/drawing/2014/chart" uri="{C3380CC4-5D6E-409C-BE32-E72D297353CC}">
                    <c16:uniqueId val="{00000005-5525-4A53-AE24-155A77CD0C42}"/>
                  </c:ext>
                </c:extLst>
              </c15:ser>
            </c15:filteredBarSeries>
            <c15:filteredBarSeries>
              <c15:ser>
                <c:idx val="8"/>
                <c:order val="8"/>
                <c:tx>
                  <c:strRef>
                    <c:extLst>
                      <c:ext xmlns:c15="http://schemas.microsoft.com/office/drawing/2012/chart" uri="{02D57815-91ED-43cb-92C2-25804820EDAC}">
                        <c15:formulaRef>
                          <c15:sqref>Analisis!$J$21</c15:sqref>
                        </c15:formulaRef>
                      </c:ext>
                    </c:extLst>
                    <c:strCache>
                      <c:ptCount val="1"/>
                      <c:pt idx="0">
                        <c:v>Similitud - T3</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Analisis!$J$22:$J$25</c15:sqref>
                        </c15:formulaRef>
                      </c:ext>
                    </c:extLst>
                    <c:numCache>
                      <c:formatCode>0%</c:formatCode>
                      <c:ptCount val="4"/>
                      <c:pt idx="0">
                        <c:v>0.1875</c:v>
                      </c:pt>
                      <c:pt idx="1">
                        <c:v>0.95061728395061729</c:v>
                      </c:pt>
                      <c:pt idx="2">
                        <c:v>0.77393617021276595</c:v>
                      </c:pt>
                      <c:pt idx="3">
                        <c:v>0.45264532984977141</c:v>
                      </c:pt>
                    </c:numCache>
                  </c:numRef>
                </c:val>
                <c:extLst xmlns:c15="http://schemas.microsoft.com/office/drawing/2012/chart">
                  <c:ext xmlns:c16="http://schemas.microsoft.com/office/drawing/2014/chart" uri="{C3380CC4-5D6E-409C-BE32-E72D297353CC}">
                    <c16:uniqueId val="{00000008-5525-4A53-AE24-155A77CD0C42}"/>
                  </c:ext>
                </c:extLst>
              </c15:ser>
            </c15:filteredBarSeries>
            <c15:filteredBarSeries>
              <c15:ser>
                <c:idx val="9"/>
                <c:order val="9"/>
                <c:tx>
                  <c:strRef>
                    <c:extLst>
                      <c:ext xmlns:c15="http://schemas.microsoft.com/office/drawing/2012/chart" uri="{02D57815-91ED-43cb-92C2-25804820EDAC}">
                        <c15:formulaRef>
                          <c15:sqref>Analisis!$K$21</c15:sqref>
                        </c15:formulaRef>
                      </c:ext>
                    </c:extLst>
                    <c:strCache>
                      <c:ptCount val="1"/>
                      <c:pt idx="0">
                        <c:v>Programador - Total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Analisis!$K$22:$K$25</c15:sqref>
                        </c15:formulaRef>
                      </c:ext>
                    </c:extLst>
                    <c:numCache>
                      <c:formatCode>0</c:formatCode>
                      <c:ptCount val="4"/>
                      <c:pt idx="0">
                        <c:v>206</c:v>
                      </c:pt>
                      <c:pt idx="1">
                        <c:v>184</c:v>
                      </c:pt>
                      <c:pt idx="2">
                        <c:v>276</c:v>
                      </c:pt>
                      <c:pt idx="3">
                        <c:v>222</c:v>
                      </c:pt>
                    </c:numCache>
                  </c:numRef>
                </c:val>
                <c:extLst xmlns:c15="http://schemas.microsoft.com/office/drawing/2012/chart">
                  <c:ext xmlns:c16="http://schemas.microsoft.com/office/drawing/2014/chart" uri="{C3380CC4-5D6E-409C-BE32-E72D297353CC}">
                    <c16:uniqueId val="{00000009-5525-4A53-AE24-155A77CD0C42}"/>
                  </c:ext>
                </c:extLst>
              </c15:ser>
            </c15:filteredBarSeries>
            <c15:filteredBarSeries>
              <c15:ser>
                <c:idx val="10"/>
                <c:order val="10"/>
                <c:tx>
                  <c:strRef>
                    <c:extLst>
                      <c:ext xmlns:c15="http://schemas.microsoft.com/office/drawing/2012/chart" uri="{02D57815-91ED-43cb-92C2-25804820EDAC}">
                        <c15:formulaRef>
                          <c15:sqref>Analisis!$L$21</c15:sqref>
                        </c15:formulaRef>
                      </c:ext>
                    </c:extLst>
                    <c:strCache>
                      <c:ptCount val="1"/>
                      <c:pt idx="0">
                        <c:v>Media Usuarios - Total</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Analisis!$L$22:$L$25</c15:sqref>
                        </c15:formulaRef>
                      </c:ext>
                    </c:extLst>
                    <c:numCache>
                      <c:formatCode>0</c:formatCode>
                      <c:ptCount val="4"/>
                      <c:pt idx="0">
                        <c:v>635.66666666666674</c:v>
                      </c:pt>
                      <c:pt idx="1">
                        <c:v>428.66666666666663</c:v>
                      </c:pt>
                      <c:pt idx="2">
                        <c:v>450.66666666666669</c:v>
                      </c:pt>
                      <c:pt idx="3">
                        <c:v>505.00000000000006</c:v>
                      </c:pt>
                    </c:numCache>
                  </c:numRef>
                </c:val>
                <c:extLst xmlns:c15="http://schemas.microsoft.com/office/drawing/2012/chart">
                  <c:ext xmlns:c16="http://schemas.microsoft.com/office/drawing/2014/chart" uri="{C3380CC4-5D6E-409C-BE32-E72D297353CC}">
                    <c16:uniqueId val="{0000000A-5525-4A53-AE24-155A77CD0C42}"/>
                  </c:ext>
                </c:extLst>
              </c15:ser>
            </c15:filteredBarSeries>
            <c15:filteredBarSeries>
              <c15:ser>
                <c:idx val="11"/>
                <c:order val="11"/>
                <c:tx>
                  <c:strRef>
                    <c:extLst>
                      <c:ext xmlns:c15="http://schemas.microsoft.com/office/drawing/2012/chart" uri="{02D57815-91ED-43cb-92C2-25804820EDAC}">
                        <c15:formulaRef>
                          <c15:sqref>Analisis!$M$21</c15:sqref>
                        </c15:formulaRef>
                      </c:ext>
                    </c:extLst>
                    <c:strCache>
                      <c:ptCount val="1"/>
                      <c:pt idx="0">
                        <c:v>Similitud - Total</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Analisis!$M$22:$M$25</c15:sqref>
                        </c15:formulaRef>
                      </c:ext>
                    </c:extLst>
                    <c:numCache>
                      <c:formatCode>0%</c:formatCode>
                      <c:ptCount val="4"/>
                      <c:pt idx="0">
                        <c:v>0.32406921866806498</c:v>
                      </c:pt>
                      <c:pt idx="1">
                        <c:v>0.42923794712286162</c:v>
                      </c:pt>
                      <c:pt idx="2">
                        <c:v>0.6124260355029586</c:v>
                      </c:pt>
                      <c:pt idx="3">
                        <c:v>0.43960396039603955</c:v>
                      </c:pt>
                    </c:numCache>
                  </c:numRef>
                </c:val>
                <c:extLst xmlns:c15="http://schemas.microsoft.com/office/drawing/2012/chart">
                  <c:ext xmlns:c16="http://schemas.microsoft.com/office/drawing/2014/chart" uri="{C3380CC4-5D6E-409C-BE32-E72D297353CC}">
                    <c16:uniqueId val="{0000000B-5525-4A53-AE24-155A77CD0C42}"/>
                  </c:ext>
                </c:extLst>
              </c15:ser>
            </c15:filteredBarSeries>
          </c:ext>
        </c:extLst>
      </c:barChart>
      <c:catAx>
        <c:axId val="128695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0224"/>
        <c:crosses val="autoZero"/>
        <c:auto val="1"/>
        <c:lblAlgn val="ctr"/>
        <c:lblOffset val="100"/>
        <c:noMultiLvlLbl val="0"/>
      </c:catAx>
      <c:valAx>
        <c:axId val="128695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1184"/>
        <c:crosses val="autoZero"/>
        <c:crossBetween val="between"/>
      </c:valAx>
      <c:spPr>
        <a:noFill/>
        <a:ln>
          <a:noFill/>
        </a:ln>
        <a:effectLst/>
      </c:spPr>
    </c:plotArea>
    <c:legend>
      <c:legendPos val="r"/>
      <c:layout>
        <c:manualLayout>
          <c:xMode val="edge"/>
          <c:yMode val="edge"/>
          <c:x val="8.1446402706594964E-3"/>
          <c:y val="0.80092614979144217"/>
          <c:w val="0.99185515363504984"/>
          <c:h val="0.18672329859182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Comparacion</a:t>
            </a:r>
            <a:r>
              <a:rPr lang="en-US" baseline="0"/>
              <a:t> </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optimas</a:t>
            </a:r>
            <a:r>
              <a:rPr lang="en-US" baseline="0"/>
              <a:t> - Total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456740284249426E-2"/>
          <c:y val="0.21872774201979939"/>
          <c:w val="0.86798833588512481"/>
          <c:h val="0.52059027891223142"/>
        </c:manualLayout>
      </c:layout>
      <c:barChart>
        <c:barDir val="col"/>
        <c:grouping val="clustered"/>
        <c:varyColors val="0"/>
        <c:ser>
          <c:idx val="9"/>
          <c:order val="9"/>
          <c:tx>
            <c:strRef>
              <c:f>Analisis!$K$21</c:f>
              <c:strCache>
                <c:ptCount val="1"/>
                <c:pt idx="0">
                  <c:v>Programador - Total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Analisis!$A$22:$A$25</c:f>
              <c:strCache>
                <c:ptCount val="4"/>
                <c:pt idx="0">
                  <c:v>1</c:v>
                </c:pt>
                <c:pt idx="1">
                  <c:v>2</c:v>
                </c:pt>
                <c:pt idx="2">
                  <c:v>3</c:v>
                </c:pt>
                <c:pt idx="3">
                  <c:v>Global</c:v>
                </c:pt>
              </c:strCache>
            </c:strRef>
          </c:cat>
          <c:val>
            <c:numRef>
              <c:f>Analisis!$K$22:$K$25</c:f>
              <c:numCache>
                <c:formatCode>0</c:formatCode>
                <c:ptCount val="4"/>
                <c:pt idx="0">
                  <c:v>206</c:v>
                </c:pt>
                <c:pt idx="1">
                  <c:v>184</c:v>
                </c:pt>
                <c:pt idx="2">
                  <c:v>276</c:v>
                </c:pt>
                <c:pt idx="3">
                  <c:v>222</c:v>
                </c:pt>
              </c:numCache>
            </c:numRef>
          </c:val>
          <c:extLst>
            <c:ext xmlns:c16="http://schemas.microsoft.com/office/drawing/2014/chart" uri="{C3380CC4-5D6E-409C-BE32-E72D297353CC}">
              <c16:uniqueId val="{00000009-FCC5-4995-9B97-C9F55A1C1D08}"/>
            </c:ext>
          </c:extLst>
        </c:ser>
        <c:ser>
          <c:idx val="10"/>
          <c:order val="10"/>
          <c:tx>
            <c:strRef>
              <c:f>Analisis!$L$21</c:f>
              <c:strCache>
                <c:ptCount val="1"/>
                <c:pt idx="0">
                  <c:v>Media Usuarios - Total</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Analisis!$A$22:$A$25</c:f>
              <c:strCache>
                <c:ptCount val="4"/>
                <c:pt idx="0">
                  <c:v>1</c:v>
                </c:pt>
                <c:pt idx="1">
                  <c:v>2</c:v>
                </c:pt>
                <c:pt idx="2">
                  <c:v>3</c:v>
                </c:pt>
                <c:pt idx="3">
                  <c:v>Global</c:v>
                </c:pt>
              </c:strCache>
            </c:strRef>
          </c:cat>
          <c:val>
            <c:numRef>
              <c:f>Analisis!$L$22:$L$25</c:f>
              <c:numCache>
                <c:formatCode>0</c:formatCode>
                <c:ptCount val="4"/>
                <c:pt idx="0">
                  <c:v>635.66666666666674</c:v>
                </c:pt>
                <c:pt idx="1">
                  <c:v>428.66666666666663</c:v>
                </c:pt>
                <c:pt idx="2">
                  <c:v>450.66666666666669</c:v>
                </c:pt>
                <c:pt idx="3">
                  <c:v>505.00000000000006</c:v>
                </c:pt>
              </c:numCache>
            </c:numRef>
          </c:val>
          <c:extLst>
            <c:ext xmlns:c16="http://schemas.microsoft.com/office/drawing/2014/chart" uri="{C3380CC4-5D6E-409C-BE32-E72D297353CC}">
              <c16:uniqueId val="{0000000A-FCC5-4995-9B97-C9F55A1C1D08}"/>
            </c:ext>
          </c:extLst>
        </c:ser>
        <c:dLbls>
          <c:dLblPos val="inEnd"/>
          <c:showLegendKey val="0"/>
          <c:showVal val="1"/>
          <c:showCatName val="0"/>
          <c:showSerName val="0"/>
          <c:showPercent val="0"/>
          <c:showBubbleSize val="0"/>
        </c:dLbls>
        <c:gapWidth val="100"/>
        <c:overlap val="-24"/>
        <c:axId val="1286951184"/>
        <c:axId val="1286950224"/>
        <c:extLst>
          <c:ext xmlns:c15="http://schemas.microsoft.com/office/drawing/2012/chart" uri="{02D57815-91ED-43cb-92C2-25804820EDAC}">
            <c15:filteredBarSeries>
              <c15:ser>
                <c:idx val="0"/>
                <c:order val="0"/>
                <c:tx>
                  <c:strRef>
                    <c:extLst>
                      <c:ext uri="{02D57815-91ED-43cb-92C2-25804820EDAC}">
                        <c15:formulaRef>
                          <c15:sqref>Analisis!$B$21</c15:sqref>
                        </c15:formulaRef>
                      </c:ext>
                    </c:extLst>
                    <c:strCache>
                      <c:ptCount val="1"/>
                      <c:pt idx="0">
                        <c:v>Programador - T1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Analisis!$A$22:$A$25</c15:sqref>
                        </c15:formulaRef>
                      </c:ext>
                    </c:extLst>
                    <c:strCache>
                      <c:ptCount val="4"/>
                      <c:pt idx="0">
                        <c:v>1</c:v>
                      </c:pt>
                      <c:pt idx="1">
                        <c:v>2</c:v>
                      </c:pt>
                      <c:pt idx="2">
                        <c:v>3</c:v>
                      </c:pt>
                      <c:pt idx="3">
                        <c:v>Global</c:v>
                      </c:pt>
                    </c:strCache>
                  </c:strRef>
                </c:cat>
                <c:val>
                  <c:numRef>
                    <c:extLst>
                      <c:ext uri="{02D57815-91ED-43cb-92C2-25804820EDAC}">
                        <c15:formulaRef>
                          <c15:sqref>Analisis!$B$22:$B$25</c15:sqref>
                        </c15:formulaRef>
                      </c:ext>
                    </c:extLst>
                    <c:numCache>
                      <c:formatCode>0</c:formatCode>
                      <c:ptCount val="4"/>
                      <c:pt idx="0">
                        <c:v>135</c:v>
                      </c:pt>
                      <c:pt idx="1">
                        <c:v>100</c:v>
                      </c:pt>
                      <c:pt idx="2">
                        <c:v>164</c:v>
                      </c:pt>
                      <c:pt idx="3">
                        <c:v>133</c:v>
                      </c:pt>
                    </c:numCache>
                  </c:numRef>
                </c:val>
                <c:extLst>
                  <c:ext xmlns:c16="http://schemas.microsoft.com/office/drawing/2014/chart" uri="{C3380CC4-5D6E-409C-BE32-E72D297353CC}">
                    <c16:uniqueId val="{00000000-FCC5-4995-9B97-C9F55A1C1D08}"/>
                  </c:ext>
                </c:extLst>
              </c15:ser>
            </c15:filteredBarSeries>
            <c15:filteredBarSeries>
              <c15:ser>
                <c:idx val="1"/>
                <c:order val="1"/>
                <c:tx>
                  <c:strRef>
                    <c:extLst>
                      <c:ext xmlns:c15="http://schemas.microsoft.com/office/drawing/2012/chart" uri="{02D57815-91ED-43cb-92C2-25804820EDAC}">
                        <c15:formulaRef>
                          <c15:sqref>Analisis!$C$21</c15:sqref>
                        </c15:formulaRef>
                      </c:ext>
                    </c:extLst>
                    <c:strCache>
                      <c:ptCount val="1"/>
                      <c:pt idx="0">
                        <c:v>Media Usuarios - T1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Analisis!$C$22:$C$25</c15:sqref>
                        </c15:formulaRef>
                      </c:ext>
                    </c:extLst>
                    <c:numCache>
                      <c:formatCode>0</c:formatCode>
                      <c:ptCount val="4"/>
                      <c:pt idx="0">
                        <c:v>297</c:v>
                      </c:pt>
                      <c:pt idx="1">
                        <c:v>286.33333333333331</c:v>
                      </c:pt>
                      <c:pt idx="2">
                        <c:v>288.66666666666669</c:v>
                      </c:pt>
                      <c:pt idx="3">
                        <c:v>290.66666666666669</c:v>
                      </c:pt>
                    </c:numCache>
                  </c:numRef>
                </c:val>
                <c:extLst xmlns:c15="http://schemas.microsoft.com/office/drawing/2012/chart">
                  <c:ext xmlns:c16="http://schemas.microsoft.com/office/drawing/2014/chart" uri="{C3380CC4-5D6E-409C-BE32-E72D297353CC}">
                    <c16:uniqueId val="{00000001-FCC5-4995-9B97-C9F55A1C1D08}"/>
                  </c:ext>
                </c:extLst>
              </c15:ser>
            </c15:filteredBarSeries>
            <c15:filteredBarSeries>
              <c15:ser>
                <c:idx val="2"/>
                <c:order val="2"/>
                <c:tx>
                  <c:strRef>
                    <c:extLst>
                      <c:ext xmlns:c15="http://schemas.microsoft.com/office/drawing/2012/chart" uri="{02D57815-91ED-43cb-92C2-25804820EDAC}">
                        <c15:formulaRef>
                          <c15:sqref>Analisis!$D$21</c15:sqref>
                        </c15:formulaRef>
                      </c:ext>
                    </c:extLst>
                    <c:strCache>
                      <c:ptCount val="1"/>
                      <c:pt idx="0">
                        <c:v>Similitud - T1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Analisis!$D$22:$D$25</c15:sqref>
                        </c15:formulaRef>
                      </c:ext>
                    </c:extLst>
                    <c:numCache>
                      <c:formatCode>0%</c:formatCode>
                      <c:ptCount val="4"/>
                      <c:pt idx="0">
                        <c:v>0.45454545454545453</c:v>
                      </c:pt>
                      <c:pt idx="1">
                        <c:v>0.34924330616996507</c:v>
                      </c:pt>
                      <c:pt idx="2">
                        <c:v>0.56812933025404155</c:v>
                      </c:pt>
                      <c:pt idx="3">
                        <c:v>0.45756880733944949</c:v>
                      </c:pt>
                    </c:numCache>
                  </c:numRef>
                </c:val>
                <c:extLst xmlns:c15="http://schemas.microsoft.com/office/drawing/2012/chart">
                  <c:ext xmlns:c16="http://schemas.microsoft.com/office/drawing/2014/chart" uri="{C3380CC4-5D6E-409C-BE32-E72D297353CC}">
                    <c16:uniqueId val="{00000002-FCC5-4995-9B97-C9F55A1C1D08}"/>
                  </c:ext>
                </c:extLst>
              </c15:ser>
            </c15:filteredBarSeries>
            <c15:filteredBarSeries>
              <c15:ser>
                <c:idx val="3"/>
                <c:order val="3"/>
                <c:tx>
                  <c:strRef>
                    <c:extLst>
                      <c:ext xmlns:c15="http://schemas.microsoft.com/office/drawing/2012/chart" uri="{02D57815-91ED-43cb-92C2-25804820EDAC}">
                        <c15:formulaRef>
                          <c15:sqref>Analisis!$E$21</c15:sqref>
                        </c15:formulaRef>
                      </c:ext>
                    </c:extLst>
                    <c:strCache>
                      <c:ptCount val="1"/>
                      <c:pt idx="0">
                        <c:v>Programador - T2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Analisis!$E$22:$E$25</c15:sqref>
                        </c15:formulaRef>
                      </c:ext>
                    </c:extLst>
                    <c:numCache>
                      <c:formatCode>0</c:formatCode>
                      <c:ptCount val="4"/>
                      <c:pt idx="0">
                        <c:v>14</c:v>
                      </c:pt>
                      <c:pt idx="1">
                        <c:v>7</c:v>
                      </c:pt>
                      <c:pt idx="2">
                        <c:v>15</c:v>
                      </c:pt>
                      <c:pt idx="3">
                        <c:v>12</c:v>
                      </c:pt>
                    </c:numCache>
                  </c:numRef>
                </c:val>
                <c:extLst xmlns:c15="http://schemas.microsoft.com/office/drawing/2012/chart">
                  <c:ext xmlns:c16="http://schemas.microsoft.com/office/drawing/2014/chart" uri="{C3380CC4-5D6E-409C-BE32-E72D297353CC}">
                    <c16:uniqueId val="{00000003-FCC5-4995-9B97-C9F55A1C1D08}"/>
                  </c:ext>
                </c:extLst>
              </c15:ser>
            </c15:filteredBarSeries>
            <c15:filteredBarSeries>
              <c15:ser>
                <c:idx val="4"/>
                <c:order val="4"/>
                <c:tx>
                  <c:strRef>
                    <c:extLst>
                      <c:ext xmlns:c15="http://schemas.microsoft.com/office/drawing/2012/chart" uri="{02D57815-91ED-43cb-92C2-25804820EDAC}">
                        <c15:formulaRef>
                          <c15:sqref>Analisis!$F$21</c15:sqref>
                        </c15:formulaRef>
                      </c:ext>
                    </c:extLst>
                    <c:strCache>
                      <c:ptCount val="1"/>
                      <c:pt idx="0">
                        <c:v>Media Usuarios - T2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Analisis!$F$22:$F$25</c15:sqref>
                        </c15:formulaRef>
                      </c:ext>
                    </c:extLst>
                    <c:numCache>
                      <c:formatCode>0</c:formatCode>
                      <c:ptCount val="4"/>
                      <c:pt idx="0">
                        <c:v>34.666666666666664</c:v>
                      </c:pt>
                      <c:pt idx="1">
                        <c:v>61.333333333333336</c:v>
                      </c:pt>
                      <c:pt idx="2">
                        <c:v>36.666666666666664</c:v>
                      </c:pt>
                      <c:pt idx="3">
                        <c:v>44.222222222222221</c:v>
                      </c:pt>
                    </c:numCache>
                  </c:numRef>
                </c:val>
                <c:extLst xmlns:c15="http://schemas.microsoft.com/office/drawing/2012/chart">
                  <c:ext xmlns:c16="http://schemas.microsoft.com/office/drawing/2014/chart" uri="{C3380CC4-5D6E-409C-BE32-E72D297353CC}">
                    <c16:uniqueId val="{00000004-FCC5-4995-9B97-C9F55A1C1D08}"/>
                  </c:ext>
                </c:extLst>
              </c15:ser>
            </c15:filteredBarSeries>
            <c15:filteredBarSeries>
              <c15:ser>
                <c:idx val="5"/>
                <c:order val="5"/>
                <c:tx>
                  <c:strRef>
                    <c:extLst>
                      <c:ext xmlns:c15="http://schemas.microsoft.com/office/drawing/2012/chart" uri="{02D57815-91ED-43cb-92C2-25804820EDAC}">
                        <c15:formulaRef>
                          <c15:sqref>Analisis!$G$21</c15:sqref>
                        </c15:formulaRef>
                      </c:ext>
                    </c:extLst>
                    <c:strCache>
                      <c:ptCount val="1"/>
                      <c:pt idx="0">
                        <c:v>Similitud - T2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Analisis!$G$22:$G$25</c15:sqref>
                        </c15:formulaRef>
                      </c:ext>
                    </c:extLst>
                    <c:numCache>
                      <c:formatCode>0%</c:formatCode>
                      <c:ptCount val="4"/>
                      <c:pt idx="0">
                        <c:v>0.40384615384615385</c:v>
                      </c:pt>
                      <c:pt idx="1">
                        <c:v>0.11413043478260869</c:v>
                      </c:pt>
                      <c:pt idx="2">
                        <c:v>0.40909090909090912</c:v>
                      </c:pt>
                      <c:pt idx="3">
                        <c:v>0.271356783919598</c:v>
                      </c:pt>
                    </c:numCache>
                  </c:numRef>
                </c:val>
                <c:extLst xmlns:c15="http://schemas.microsoft.com/office/drawing/2012/chart">
                  <c:ext xmlns:c16="http://schemas.microsoft.com/office/drawing/2014/chart" uri="{C3380CC4-5D6E-409C-BE32-E72D297353CC}">
                    <c16:uniqueId val="{00000005-FCC5-4995-9B97-C9F55A1C1D08}"/>
                  </c:ext>
                </c:extLst>
              </c15:ser>
            </c15:filteredBarSeries>
            <c15:filteredBarSeries>
              <c15:ser>
                <c:idx val="6"/>
                <c:order val="6"/>
                <c:tx>
                  <c:strRef>
                    <c:extLst>
                      <c:ext xmlns:c15="http://schemas.microsoft.com/office/drawing/2012/chart" uri="{02D57815-91ED-43cb-92C2-25804820EDAC}">
                        <c15:formulaRef>
                          <c15:sqref>Analisis!$H$21</c15:sqref>
                        </c15:formulaRef>
                      </c:ext>
                    </c:extLst>
                    <c:strCache>
                      <c:ptCount val="1"/>
                      <c:pt idx="0">
                        <c:v>Programador - T3</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Analisis!$H$22:$H$25</c15:sqref>
                        </c15:formulaRef>
                      </c:ext>
                    </c:extLst>
                    <c:numCache>
                      <c:formatCode>0</c:formatCode>
                      <c:ptCount val="4"/>
                      <c:pt idx="0">
                        <c:v>57</c:v>
                      </c:pt>
                      <c:pt idx="1">
                        <c:v>77</c:v>
                      </c:pt>
                      <c:pt idx="2">
                        <c:v>97</c:v>
                      </c:pt>
                      <c:pt idx="3">
                        <c:v>77</c:v>
                      </c:pt>
                    </c:numCache>
                  </c:numRef>
                </c:val>
                <c:extLst xmlns:c15="http://schemas.microsoft.com/office/drawing/2012/chart">
                  <c:ext xmlns:c16="http://schemas.microsoft.com/office/drawing/2014/chart" uri="{C3380CC4-5D6E-409C-BE32-E72D297353CC}">
                    <c16:uniqueId val="{00000006-FCC5-4995-9B97-C9F55A1C1D08}"/>
                  </c:ext>
                </c:extLst>
              </c15:ser>
            </c15:filteredBarSeries>
            <c15:filteredBarSeries>
              <c15:ser>
                <c:idx val="7"/>
                <c:order val="7"/>
                <c:tx>
                  <c:strRef>
                    <c:extLst>
                      <c:ext xmlns:c15="http://schemas.microsoft.com/office/drawing/2012/chart" uri="{02D57815-91ED-43cb-92C2-25804820EDAC}">
                        <c15:formulaRef>
                          <c15:sqref>Analisis!$I$21</c15:sqref>
                        </c15:formulaRef>
                      </c:ext>
                    </c:extLst>
                    <c:strCache>
                      <c:ptCount val="1"/>
                      <c:pt idx="0">
                        <c:v>Media Usuarios - T3</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Analisis!$I$22:$I$25</c15:sqref>
                        </c15:formulaRef>
                      </c:ext>
                    </c:extLst>
                    <c:numCache>
                      <c:formatCode>0</c:formatCode>
                      <c:ptCount val="4"/>
                      <c:pt idx="0">
                        <c:v>304</c:v>
                      </c:pt>
                      <c:pt idx="1">
                        <c:v>81</c:v>
                      </c:pt>
                      <c:pt idx="2">
                        <c:v>125.33333333333333</c:v>
                      </c:pt>
                      <c:pt idx="3">
                        <c:v>170.11111111111111</c:v>
                      </c:pt>
                    </c:numCache>
                  </c:numRef>
                </c:val>
                <c:extLst xmlns:c15="http://schemas.microsoft.com/office/drawing/2012/chart">
                  <c:ext xmlns:c16="http://schemas.microsoft.com/office/drawing/2014/chart" uri="{C3380CC4-5D6E-409C-BE32-E72D297353CC}">
                    <c16:uniqueId val="{00000007-FCC5-4995-9B97-C9F55A1C1D08}"/>
                  </c:ext>
                </c:extLst>
              </c15:ser>
            </c15:filteredBarSeries>
            <c15:filteredBarSeries>
              <c15:ser>
                <c:idx val="8"/>
                <c:order val="8"/>
                <c:tx>
                  <c:strRef>
                    <c:extLst>
                      <c:ext xmlns:c15="http://schemas.microsoft.com/office/drawing/2012/chart" uri="{02D57815-91ED-43cb-92C2-25804820EDAC}">
                        <c15:formulaRef>
                          <c15:sqref>Analisis!$J$21</c15:sqref>
                        </c15:formulaRef>
                      </c:ext>
                    </c:extLst>
                    <c:strCache>
                      <c:ptCount val="1"/>
                      <c:pt idx="0">
                        <c:v>Similitud - T3</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Analisis!$J$22:$J$25</c15:sqref>
                        </c15:formulaRef>
                      </c:ext>
                    </c:extLst>
                    <c:numCache>
                      <c:formatCode>0%</c:formatCode>
                      <c:ptCount val="4"/>
                      <c:pt idx="0">
                        <c:v>0.1875</c:v>
                      </c:pt>
                      <c:pt idx="1">
                        <c:v>0.95061728395061729</c:v>
                      </c:pt>
                      <c:pt idx="2">
                        <c:v>0.77393617021276595</c:v>
                      </c:pt>
                      <c:pt idx="3">
                        <c:v>0.45264532984977141</c:v>
                      </c:pt>
                    </c:numCache>
                  </c:numRef>
                </c:val>
                <c:extLst xmlns:c15="http://schemas.microsoft.com/office/drawing/2012/chart">
                  <c:ext xmlns:c16="http://schemas.microsoft.com/office/drawing/2014/chart" uri="{C3380CC4-5D6E-409C-BE32-E72D297353CC}">
                    <c16:uniqueId val="{00000008-FCC5-4995-9B97-C9F55A1C1D08}"/>
                  </c:ext>
                </c:extLst>
              </c15:ser>
            </c15:filteredBarSeries>
            <c15:filteredBarSeries>
              <c15:ser>
                <c:idx val="11"/>
                <c:order val="11"/>
                <c:tx>
                  <c:strRef>
                    <c:extLst>
                      <c:ext xmlns:c15="http://schemas.microsoft.com/office/drawing/2012/chart" uri="{02D57815-91ED-43cb-92C2-25804820EDAC}">
                        <c15:formulaRef>
                          <c15:sqref>Analisis!$M$21</c15:sqref>
                        </c15:formulaRef>
                      </c:ext>
                    </c:extLst>
                    <c:strCache>
                      <c:ptCount val="1"/>
                      <c:pt idx="0">
                        <c:v>Similitud - Total</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Analisis!$M$22:$M$25</c15:sqref>
                        </c15:formulaRef>
                      </c:ext>
                    </c:extLst>
                    <c:numCache>
                      <c:formatCode>0%</c:formatCode>
                      <c:ptCount val="4"/>
                      <c:pt idx="0">
                        <c:v>0.32406921866806498</c:v>
                      </c:pt>
                      <c:pt idx="1">
                        <c:v>0.42923794712286162</c:v>
                      </c:pt>
                      <c:pt idx="2">
                        <c:v>0.6124260355029586</c:v>
                      </c:pt>
                      <c:pt idx="3">
                        <c:v>0.43960396039603955</c:v>
                      </c:pt>
                    </c:numCache>
                  </c:numRef>
                </c:val>
                <c:extLst xmlns:c15="http://schemas.microsoft.com/office/drawing/2012/chart">
                  <c:ext xmlns:c16="http://schemas.microsoft.com/office/drawing/2014/chart" uri="{C3380CC4-5D6E-409C-BE32-E72D297353CC}">
                    <c16:uniqueId val="{0000000B-FCC5-4995-9B97-C9F55A1C1D08}"/>
                  </c:ext>
                </c:extLst>
              </c15:ser>
            </c15:filteredBarSeries>
          </c:ext>
        </c:extLst>
      </c:barChart>
      <c:catAx>
        <c:axId val="128695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0224"/>
        <c:crosses val="autoZero"/>
        <c:auto val="1"/>
        <c:lblAlgn val="ctr"/>
        <c:lblOffset val="100"/>
        <c:noMultiLvlLbl val="0"/>
      </c:catAx>
      <c:valAx>
        <c:axId val="128695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1184"/>
        <c:crosses val="autoZero"/>
        <c:crossBetween val="between"/>
      </c:valAx>
      <c:spPr>
        <a:noFill/>
        <a:ln>
          <a:noFill/>
        </a:ln>
        <a:effectLst/>
      </c:spPr>
    </c:plotArea>
    <c:legend>
      <c:legendPos val="r"/>
      <c:layout>
        <c:manualLayout>
          <c:xMode val="edge"/>
          <c:yMode val="edge"/>
          <c:x val="1.549567098491527E-3"/>
          <c:y val="0.80092614979144217"/>
          <c:w val="0.99703669103238768"/>
          <c:h val="0.18672329859182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Comparacion</a:t>
            </a:r>
            <a:r>
              <a:rPr lang="en-US" baseline="0"/>
              <a:t>es optimas - Porcentual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456740284249426E-2"/>
          <c:y val="0.21872774201979939"/>
          <c:w val="0.86798833588512481"/>
          <c:h val="0.52059027891223142"/>
        </c:manualLayout>
      </c:layout>
      <c:barChart>
        <c:barDir val="col"/>
        <c:grouping val="clustered"/>
        <c:varyColors val="0"/>
        <c:ser>
          <c:idx val="2"/>
          <c:order val="2"/>
          <c:tx>
            <c:strRef>
              <c:f>Analisis!$D$21</c:f>
              <c:strCache>
                <c:ptCount val="1"/>
                <c:pt idx="0">
                  <c:v>Similitud - T1</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Analisis!$A$22:$A$25</c:f>
              <c:strCache>
                <c:ptCount val="4"/>
                <c:pt idx="0">
                  <c:v>1</c:v>
                </c:pt>
                <c:pt idx="1">
                  <c:v>2</c:v>
                </c:pt>
                <c:pt idx="2">
                  <c:v>3</c:v>
                </c:pt>
                <c:pt idx="3">
                  <c:v>Global</c:v>
                </c:pt>
              </c:strCache>
            </c:strRef>
          </c:cat>
          <c:val>
            <c:numRef>
              <c:f>Analisis!$D$22:$D$25</c:f>
              <c:numCache>
                <c:formatCode>0%</c:formatCode>
                <c:ptCount val="4"/>
                <c:pt idx="0">
                  <c:v>0.45454545454545453</c:v>
                </c:pt>
                <c:pt idx="1">
                  <c:v>0.34924330616996507</c:v>
                </c:pt>
                <c:pt idx="2">
                  <c:v>0.56812933025404155</c:v>
                </c:pt>
                <c:pt idx="3">
                  <c:v>0.45756880733944949</c:v>
                </c:pt>
              </c:numCache>
            </c:numRef>
          </c:val>
          <c:extLst>
            <c:ext xmlns:c16="http://schemas.microsoft.com/office/drawing/2014/chart" uri="{C3380CC4-5D6E-409C-BE32-E72D297353CC}">
              <c16:uniqueId val="{00000000-9139-4A7E-A559-4F5CC0288BA4}"/>
            </c:ext>
          </c:extLst>
        </c:ser>
        <c:ser>
          <c:idx val="5"/>
          <c:order val="5"/>
          <c:tx>
            <c:strRef>
              <c:f>Analisis!$G$21</c:f>
              <c:strCache>
                <c:ptCount val="1"/>
                <c:pt idx="0">
                  <c:v>Similitud - T2</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Analisis!$A$22:$A$25</c:f>
              <c:strCache>
                <c:ptCount val="4"/>
                <c:pt idx="0">
                  <c:v>1</c:v>
                </c:pt>
                <c:pt idx="1">
                  <c:v>2</c:v>
                </c:pt>
                <c:pt idx="2">
                  <c:v>3</c:v>
                </c:pt>
                <c:pt idx="3">
                  <c:v>Global</c:v>
                </c:pt>
              </c:strCache>
            </c:strRef>
          </c:cat>
          <c:val>
            <c:numRef>
              <c:f>Analisis!$G$22:$G$25</c:f>
              <c:numCache>
                <c:formatCode>0%</c:formatCode>
                <c:ptCount val="4"/>
                <c:pt idx="0">
                  <c:v>0.40384615384615385</c:v>
                </c:pt>
                <c:pt idx="1">
                  <c:v>0.11413043478260869</c:v>
                </c:pt>
                <c:pt idx="2">
                  <c:v>0.40909090909090912</c:v>
                </c:pt>
                <c:pt idx="3">
                  <c:v>0.271356783919598</c:v>
                </c:pt>
              </c:numCache>
            </c:numRef>
          </c:val>
          <c:extLst>
            <c:ext xmlns:c16="http://schemas.microsoft.com/office/drawing/2014/chart" uri="{C3380CC4-5D6E-409C-BE32-E72D297353CC}">
              <c16:uniqueId val="{00000001-9139-4A7E-A559-4F5CC0288BA4}"/>
            </c:ext>
          </c:extLst>
        </c:ser>
        <c:ser>
          <c:idx val="8"/>
          <c:order val="8"/>
          <c:tx>
            <c:strRef>
              <c:f>Analisis!$J$21</c:f>
              <c:strCache>
                <c:ptCount val="1"/>
                <c:pt idx="0">
                  <c:v>Similitud - T3</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Analisis!$A$22:$A$25</c:f>
              <c:strCache>
                <c:ptCount val="4"/>
                <c:pt idx="0">
                  <c:v>1</c:v>
                </c:pt>
                <c:pt idx="1">
                  <c:v>2</c:v>
                </c:pt>
                <c:pt idx="2">
                  <c:v>3</c:v>
                </c:pt>
                <c:pt idx="3">
                  <c:v>Global</c:v>
                </c:pt>
              </c:strCache>
            </c:strRef>
          </c:cat>
          <c:val>
            <c:numRef>
              <c:f>Analisis!$J$22:$J$25</c:f>
              <c:numCache>
                <c:formatCode>0%</c:formatCode>
                <c:ptCount val="4"/>
                <c:pt idx="0">
                  <c:v>0.1875</c:v>
                </c:pt>
                <c:pt idx="1">
                  <c:v>0.95061728395061729</c:v>
                </c:pt>
                <c:pt idx="2">
                  <c:v>0.77393617021276595</c:v>
                </c:pt>
                <c:pt idx="3">
                  <c:v>0.45264532984977141</c:v>
                </c:pt>
              </c:numCache>
            </c:numRef>
          </c:val>
          <c:extLst>
            <c:ext xmlns:c16="http://schemas.microsoft.com/office/drawing/2014/chart" uri="{C3380CC4-5D6E-409C-BE32-E72D297353CC}">
              <c16:uniqueId val="{00000002-9139-4A7E-A559-4F5CC0288BA4}"/>
            </c:ext>
          </c:extLst>
        </c:ser>
        <c:ser>
          <c:idx val="11"/>
          <c:order val="11"/>
          <c:tx>
            <c:strRef>
              <c:f>Analisis!$M$21</c:f>
              <c:strCache>
                <c:ptCount val="1"/>
                <c:pt idx="0">
                  <c:v>Similitud - Total</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Analisis!$A$22:$A$25</c:f>
              <c:strCache>
                <c:ptCount val="4"/>
                <c:pt idx="0">
                  <c:v>1</c:v>
                </c:pt>
                <c:pt idx="1">
                  <c:v>2</c:v>
                </c:pt>
                <c:pt idx="2">
                  <c:v>3</c:v>
                </c:pt>
                <c:pt idx="3">
                  <c:v>Global</c:v>
                </c:pt>
              </c:strCache>
            </c:strRef>
          </c:cat>
          <c:val>
            <c:numRef>
              <c:f>Analisis!$M$22:$M$25</c:f>
              <c:numCache>
                <c:formatCode>0%</c:formatCode>
                <c:ptCount val="4"/>
                <c:pt idx="0">
                  <c:v>0.32406921866806498</c:v>
                </c:pt>
                <c:pt idx="1">
                  <c:v>0.42923794712286162</c:v>
                </c:pt>
                <c:pt idx="2">
                  <c:v>0.6124260355029586</c:v>
                </c:pt>
                <c:pt idx="3">
                  <c:v>0.43960396039603955</c:v>
                </c:pt>
              </c:numCache>
            </c:numRef>
          </c:val>
          <c:extLst>
            <c:ext xmlns:c16="http://schemas.microsoft.com/office/drawing/2014/chart" uri="{C3380CC4-5D6E-409C-BE32-E72D297353CC}">
              <c16:uniqueId val="{00000003-9139-4A7E-A559-4F5CC0288BA4}"/>
            </c:ext>
          </c:extLst>
        </c:ser>
        <c:dLbls>
          <c:dLblPos val="inEnd"/>
          <c:showLegendKey val="0"/>
          <c:showVal val="1"/>
          <c:showCatName val="0"/>
          <c:showSerName val="0"/>
          <c:showPercent val="0"/>
          <c:showBubbleSize val="0"/>
        </c:dLbls>
        <c:gapWidth val="100"/>
        <c:overlap val="-24"/>
        <c:axId val="1286951184"/>
        <c:axId val="1286950224"/>
        <c:extLst>
          <c:ext xmlns:c15="http://schemas.microsoft.com/office/drawing/2012/chart" uri="{02D57815-91ED-43cb-92C2-25804820EDAC}">
            <c15:filteredBarSeries>
              <c15:ser>
                <c:idx val="0"/>
                <c:order val="0"/>
                <c:tx>
                  <c:strRef>
                    <c:extLst>
                      <c:ext uri="{02D57815-91ED-43cb-92C2-25804820EDAC}">
                        <c15:formulaRef>
                          <c15:sqref>Analisis!$B$21</c15:sqref>
                        </c15:formulaRef>
                      </c:ext>
                    </c:extLst>
                    <c:strCache>
                      <c:ptCount val="1"/>
                      <c:pt idx="0">
                        <c:v>Programador - T1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uri="{02D57815-91ED-43cb-92C2-25804820EDAC}">
                        <c15:formulaRef>
                          <c15:sqref>Analisis!$A$22:$A$25</c15:sqref>
                        </c15:formulaRef>
                      </c:ext>
                    </c:extLst>
                    <c:strCache>
                      <c:ptCount val="4"/>
                      <c:pt idx="0">
                        <c:v>1</c:v>
                      </c:pt>
                      <c:pt idx="1">
                        <c:v>2</c:v>
                      </c:pt>
                      <c:pt idx="2">
                        <c:v>3</c:v>
                      </c:pt>
                      <c:pt idx="3">
                        <c:v>Global</c:v>
                      </c:pt>
                    </c:strCache>
                  </c:strRef>
                </c:cat>
                <c:val>
                  <c:numRef>
                    <c:extLst>
                      <c:ext uri="{02D57815-91ED-43cb-92C2-25804820EDAC}">
                        <c15:formulaRef>
                          <c15:sqref>Analisis!$B$22:$B$25</c15:sqref>
                        </c15:formulaRef>
                      </c:ext>
                    </c:extLst>
                    <c:numCache>
                      <c:formatCode>0</c:formatCode>
                      <c:ptCount val="4"/>
                      <c:pt idx="0">
                        <c:v>135</c:v>
                      </c:pt>
                      <c:pt idx="1">
                        <c:v>100</c:v>
                      </c:pt>
                      <c:pt idx="2">
                        <c:v>164</c:v>
                      </c:pt>
                      <c:pt idx="3">
                        <c:v>133</c:v>
                      </c:pt>
                    </c:numCache>
                  </c:numRef>
                </c:val>
                <c:extLst>
                  <c:ext xmlns:c16="http://schemas.microsoft.com/office/drawing/2014/chart" uri="{C3380CC4-5D6E-409C-BE32-E72D297353CC}">
                    <c16:uniqueId val="{00000004-9139-4A7E-A559-4F5CC0288BA4}"/>
                  </c:ext>
                </c:extLst>
              </c15:ser>
            </c15:filteredBarSeries>
            <c15:filteredBarSeries>
              <c15:ser>
                <c:idx val="1"/>
                <c:order val="1"/>
                <c:tx>
                  <c:strRef>
                    <c:extLst>
                      <c:ext xmlns:c15="http://schemas.microsoft.com/office/drawing/2012/chart" uri="{02D57815-91ED-43cb-92C2-25804820EDAC}">
                        <c15:formulaRef>
                          <c15:sqref>Analisis!$C$21</c15:sqref>
                        </c15:formulaRef>
                      </c:ext>
                    </c:extLst>
                    <c:strCache>
                      <c:ptCount val="1"/>
                      <c:pt idx="0">
                        <c:v>Media Usuarios - T1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Analisis!$C$22:$C$25</c15:sqref>
                        </c15:formulaRef>
                      </c:ext>
                    </c:extLst>
                    <c:numCache>
                      <c:formatCode>0</c:formatCode>
                      <c:ptCount val="4"/>
                      <c:pt idx="0">
                        <c:v>297</c:v>
                      </c:pt>
                      <c:pt idx="1">
                        <c:v>286.33333333333331</c:v>
                      </c:pt>
                      <c:pt idx="2">
                        <c:v>288.66666666666669</c:v>
                      </c:pt>
                      <c:pt idx="3">
                        <c:v>290.66666666666669</c:v>
                      </c:pt>
                    </c:numCache>
                  </c:numRef>
                </c:val>
                <c:extLst xmlns:c15="http://schemas.microsoft.com/office/drawing/2012/chart">
                  <c:ext xmlns:c16="http://schemas.microsoft.com/office/drawing/2014/chart" uri="{C3380CC4-5D6E-409C-BE32-E72D297353CC}">
                    <c16:uniqueId val="{00000005-9139-4A7E-A559-4F5CC0288BA4}"/>
                  </c:ext>
                </c:extLst>
              </c15:ser>
            </c15:filteredBarSeries>
            <c15:filteredBarSeries>
              <c15:ser>
                <c:idx val="3"/>
                <c:order val="3"/>
                <c:tx>
                  <c:strRef>
                    <c:extLst>
                      <c:ext xmlns:c15="http://schemas.microsoft.com/office/drawing/2012/chart" uri="{02D57815-91ED-43cb-92C2-25804820EDAC}">
                        <c15:formulaRef>
                          <c15:sqref>Analisis!$E$21</c15:sqref>
                        </c15:formulaRef>
                      </c:ext>
                    </c:extLst>
                    <c:strCache>
                      <c:ptCount val="1"/>
                      <c:pt idx="0">
                        <c:v>Programador - T2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Analisis!$E$22:$E$25</c15:sqref>
                        </c15:formulaRef>
                      </c:ext>
                    </c:extLst>
                    <c:numCache>
                      <c:formatCode>0</c:formatCode>
                      <c:ptCount val="4"/>
                      <c:pt idx="0">
                        <c:v>14</c:v>
                      </c:pt>
                      <c:pt idx="1">
                        <c:v>7</c:v>
                      </c:pt>
                      <c:pt idx="2">
                        <c:v>15</c:v>
                      </c:pt>
                      <c:pt idx="3">
                        <c:v>12</c:v>
                      </c:pt>
                    </c:numCache>
                  </c:numRef>
                </c:val>
                <c:extLst xmlns:c15="http://schemas.microsoft.com/office/drawing/2012/chart">
                  <c:ext xmlns:c16="http://schemas.microsoft.com/office/drawing/2014/chart" uri="{C3380CC4-5D6E-409C-BE32-E72D297353CC}">
                    <c16:uniqueId val="{00000006-9139-4A7E-A559-4F5CC0288BA4}"/>
                  </c:ext>
                </c:extLst>
              </c15:ser>
            </c15:filteredBarSeries>
            <c15:filteredBarSeries>
              <c15:ser>
                <c:idx val="4"/>
                <c:order val="4"/>
                <c:tx>
                  <c:strRef>
                    <c:extLst>
                      <c:ext xmlns:c15="http://schemas.microsoft.com/office/drawing/2012/chart" uri="{02D57815-91ED-43cb-92C2-25804820EDAC}">
                        <c15:formulaRef>
                          <c15:sqref>Analisis!$F$21</c15:sqref>
                        </c15:formulaRef>
                      </c:ext>
                    </c:extLst>
                    <c:strCache>
                      <c:ptCount val="1"/>
                      <c:pt idx="0">
                        <c:v>Media Usuarios - T2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Analisis!$F$22:$F$25</c15:sqref>
                        </c15:formulaRef>
                      </c:ext>
                    </c:extLst>
                    <c:numCache>
                      <c:formatCode>0</c:formatCode>
                      <c:ptCount val="4"/>
                      <c:pt idx="0">
                        <c:v>34.666666666666664</c:v>
                      </c:pt>
                      <c:pt idx="1">
                        <c:v>61.333333333333336</c:v>
                      </c:pt>
                      <c:pt idx="2">
                        <c:v>36.666666666666664</c:v>
                      </c:pt>
                      <c:pt idx="3">
                        <c:v>44.222222222222221</c:v>
                      </c:pt>
                    </c:numCache>
                  </c:numRef>
                </c:val>
                <c:extLst xmlns:c15="http://schemas.microsoft.com/office/drawing/2012/chart">
                  <c:ext xmlns:c16="http://schemas.microsoft.com/office/drawing/2014/chart" uri="{C3380CC4-5D6E-409C-BE32-E72D297353CC}">
                    <c16:uniqueId val="{00000007-9139-4A7E-A559-4F5CC0288BA4}"/>
                  </c:ext>
                </c:extLst>
              </c15:ser>
            </c15:filteredBarSeries>
            <c15:filteredBarSeries>
              <c15:ser>
                <c:idx val="6"/>
                <c:order val="6"/>
                <c:tx>
                  <c:strRef>
                    <c:extLst>
                      <c:ext xmlns:c15="http://schemas.microsoft.com/office/drawing/2012/chart" uri="{02D57815-91ED-43cb-92C2-25804820EDAC}">
                        <c15:formulaRef>
                          <c15:sqref>Analisis!$H$21</c15:sqref>
                        </c15:formulaRef>
                      </c:ext>
                    </c:extLst>
                    <c:strCache>
                      <c:ptCount val="1"/>
                      <c:pt idx="0">
                        <c:v>Programador - T3</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Analisis!$H$22:$H$25</c15:sqref>
                        </c15:formulaRef>
                      </c:ext>
                    </c:extLst>
                    <c:numCache>
                      <c:formatCode>0</c:formatCode>
                      <c:ptCount val="4"/>
                      <c:pt idx="0">
                        <c:v>57</c:v>
                      </c:pt>
                      <c:pt idx="1">
                        <c:v>77</c:v>
                      </c:pt>
                      <c:pt idx="2">
                        <c:v>97</c:v>
                      </c:pt>
                      <c:pt idx="3">
                        <c:v>77</c:v>
                      </c:pt>
                    </c:numCache>
                  </c:numRef>
                </c:val>
                <c:extLst xmlns:c15="http://schemas.microsoft.com/office/drawing/2012/chart">
                  <c:ext xmlns:c16="http://schemas.microsoft.com/office/drawing/2014/chart" uri="{C3380CC4-5D6E-409C-BE32-E72D297353CC}">
                    <c16:uniqueId val="{00000008-9139-4A7E-A559-4F5CC0288BA4}"/>
                  </c:ext>
                </c:extLst>
              </c15:ser>
            </c15:filteredBarSeries>
            <c15:filteredBarSeries>
              <c15:ser>
                <c:idx val="7"/>
                <c:order val="7"/>
                <c:tx>
                  <c:strRef>
                    <c:extLst>
                      <c:ext xmlns:c15="http://schemas.microsoft.com/office/drawing/2012/chart" uri="{02D57815-91ED-43cb-92C2-25804820EDAC}">
                        <c15:formulaRef>
                          <c15:sqref>Analisis!$I$21</c15:sqref>
                        </c15:formulaRef>
                      </c:ext>
                    </c:extLst>
                    <c:strCache>
                      <c:ptCount val="1"/>
                      <c:pt idx="0">
                        <c:v>Media Usuarios - T3</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Analisis!$I$22:$I$25</c15:sqref>
                        </c15:formulaRef>
                      </c:ext>
                    </c:extLst>
                    <c:numCache>
                      <c:formatCode>0</c:formatCode>
                      <c:ptCount val="4"/>
                      <c:pt idx="0">
                        <c:v>304</c:v>
                      </c:pt>
                      <c:pt idx="1">
                        <c:v>81</c:v>
                      </c:pt>
                      <c:pt idx="2">
                        <c:v>125.33333333333333</c:v>
                      </c:pt>
                      <c:pt idx="3">
                        <c:v>170.11111111111111</c:v>
                      </c:pt>
                    </c:numCache>
                  </c:numRef>
                </c:val>
                <c:extLst xmlns:c15="http://schemas.microsoft.com/office/drawing/2012/chart">
                  <c:ext xmlns:c16="http://schemas.microsoft.com/office/drawing/2014/chart" uri="{C3380CC4-5D6E-409C-BE32-E72D297353CC}">
                    <c16:uniqueId val="{00000009-9139-4A7E-A559-4F5CC0288BA4}"/>
                  </c:ext>
                </c:extLst>
              </c15:ser>
            </c15:filteredBarSeries>
            <c15:filteredBarSeries>
              <c15:ser>
                <c:idx val="9"/>
                <c:order val="9"/>
                <c:tx>
                  <c:strRef>
                    <c:extLst>
                      <c:ext xmlns:c15="http://schemas.microsoft.com/office/drawing/2012/chart" uri="{02D57815-91ED-43cb-92C2-25804820EDAC}">
                        <c15:formulaRef>
                          <c15:sqref>Analisis!$K$21</c15:sqref>
                        </c15:formulaRef>
                      </c:ext>
                    </c:extLst>
                    <c:strCache>
                      <c:ptCount val="1"/>
                      <c:pt idx="0">
                        <c:v>Programador - Total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Analisis!$K$22:$K$25</c15:sqref>
                        </c15:formulaRef>
                      </c:ext>
                    </c:extLst>
                    <c:numCache>
                      <c:formatCode>0</c:formatCode>
                      <c:ptCount val="4"/>
                      <c:pt idx="0">
                        <c:v>206</c:v>
                      </c:pt>
                      <c:pt idx="1">
                        <c:v>184</c:v>
                      </c:pt>
                      <c:pt idx="2">
                        <c:v>276</c:v>
                      </c:pt>
                      <c:pt idx="3">
                        <c:v>222</c:v>
                      </c:pt>
                    </c:numCache>
                  </c:numRef>
                </c:val>
                <c:extLst xmlns:c15="http://schemas.microsoft.com/office/drawing/2012/chart">
                  <c:ext xmlns:c16="http://schemas.microsoft.com/office/drawing/2014/chart" uri="{C3380CC4-5D6E-409C-BE32-E72D297353CC}">
                    <c16:uniqueId val="{0000000A-9139-4A7E-A559-4F5CC0288BA4}"/>
                  </c:ext>
                </c:extLst>
              </c15:ser>
            </c15:filteredBarSeries>
            <c15:filteredBarSeries>
              <c15:ser>
                <c:idx val="10"/>
                <c:order val="10"/>
                <c:tx>
                  <c:strRef>
                    <c:extLst>
                      <c:ext xmlns:c15="http://schemas.microsoft.com/office/drawing/2012/chart" uri="{02D57815-91ED-43cb-92C2-25804820EDAC}">
                        <c15:formulaRef>
                          <c15:sqref>Analisis!$L$21</c15:sqref>
                        </c15:formulaRef>
                      </c:ext>
                    </c:extLst>
                    <c:strCache>
                      <c:ptCount val="1"/>
                      <c:pt idx="0">
                        <c:v>Media Usuarios - Total</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extLst>
                      <c:ext xmlns:c15="http://schemas.microsoft.com/office/drawing/2012/chart" uri="{02D57815-91ED-43cb-92C2-25804820EDAC}">
                        <c15:formulaRef>
                          <c15:sqref>Analisis!$A$22:$A$25</c15:sqref>
                        </c15:formulaRef>
                      </c:ext>
                    </c:extLst>
                    <c:strCache>
                      <c:ptCount val="4"/>
                      <c:pt idx="0">
                        <c:v>1</c:v>
                      </c:pt>
                      <c:pt idx="1">
                        <c:v>2</c:v>
                      </c:pt>
                      <c:pt idx="2">
                        <c:v>3</c:v>
                      </c:pt>
                      <c:pt idx="3">
                        <c:v>Global</c:v>
                      </c:pt>
                    </c:strCache>
                  </c:strRef>
                </c:cat>
                <c:val>
                  <c:numRef>
                    <c:extLst>
                      <c:ext xmlns:c15="http://schemas.microsoft.com/office/drawing/2012/chart" uri="{02D57815-91ED-43cb-92C2-25804820EDAC}">
                        <c15:formulaRef>
                          <c15:sqref>Analisis!$L$22:$L$25</c15:sqref>
                        </c15:formulaRef>
                      </c:ext>
                    </c:extLst>
                    <c:numCache>
                      <c:formatCode>0</c:formatCode>
                      <c:ptCount val="4"/>
                      <c:pt idx="0">
                        <c:v>635.66666666666674</c:v>
                      </c:pt>
                      <c:pt idx="1">
                        <c:v>428.66666666666663</c:v>
                      </c:pt>
                      <c:pt idx="2">
                        <c:v>450.66666666666669</c:v>
                      </c:pt>
                      <c:pt idx="3">
                        <c:v>505.00000000000006</c:v>
                      </c:pt>
                    </c:numCache>
                  </c:numRef>
                </c:val>
                <c:extLst xmlns:c15="http://schemas.microsoft.com/office/drawing/2012/chart">
                  <c:ext xmlns:c16="http://schemas.microsoft.com/office/drawing/2014/chart" uri="{C3380CC4-5D6E-409C-BE32-E72D297353CC}">
                    <c16:uniqueId val="{0000000B-9139-4A7E-A559-4F5CC0288BA4}"/>
                  </c:ext>
                </c:extLst>
              </c15:ser>
            </c15:filteredBarSeries>
          </c:ext>
        </c:extLst>
      </c:barChart>
      <c:catAx>
        <c:axId val="128695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0224"/>
        <c:crosses val="autoZero"/>
        <c:auto val="1"/>
        <c:lblAlgn val="ctr"/>
        <c:lblOffset val="100"/>
        <c:noMultiLvlLbl val="0"/>
      </c:catAx>
      <c:valAx>
        <c:axId val="128695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1184"/>
        <c:crosses val="autoZero"/>
        <c:crossBetween val="between"/>
      </c:valAx>
      <c:spPr>
        <a:noFill/>
        <a:ln>
          <a:noFill/>
        </a:ln>
        <a:effectLst/>
      </c:spPr>
    </c:plotArea>
    <c:legend>
      <c:legendPos val="r"/>
      <c:layout>
        <c:manualLayout>
          <c:xMode val="edge"/>
          <c:yMode val="edge"/>
          <c:x val="3.5287278083861108E-3"/>
          <c:y val="0.80092614979144217"/>
          <c:w val="0.98977201334307097"/>
          <c:h val="0.18672329859182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Comparacion</a:t>
            </a:r>
            <a:r>
              <a:rPr lang="en-US" baseline="0"/>
              <a:t> resultados - Generos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456740284249426E-2"/>
          <c:y val="0.21872774201979939"/>
          <c:w val="0.86798833588512481"/>
          <c:h val="0.52059027891223142"/>
        </c:manualLayout>
      </c:layout>
      <c:barChart>
        <c:barDir val="col"/>
        <c:grouping val="clustered"/>
        <c:varyColors val="0"/>
        <c:ser>
          <c:idx val="0"/>
          <c:order val="0"/>
          <c:tx>
            <c:strRef>
              <c:f>Analisis!$B$39</c:f>
              <c:strCache>
                <c:ptCount val="1"/>
                <c:pt idx="0">
                  <c:v>T1- Fem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Analisis!$A$40</c:f>
              <c:strCache>
                <c:ptCount val="1"/>
                <c:pt idx="0">
                  <c:v>Global</c:v>
                </c:pt>
              </c:strCache>
            </c:strRef>
          </c:cat>
          <c:val>
            <c:numRef>
              <c:f>Analisis!$B$40</c:f>
              <c:numCache>
                <c:formatCode>0</c:formatCode>
                <c:ptCount val="1"/>
                <c:pt idx="0">
                  <c:v>214.6</c:v>
                </c:pt>
              </c:numCache>
            </c:numRef>
          </c:val>
          <c:extLst>
            <c:ext xmlns:c16="http://schemas.microsoft.com/office/drawing/2014/chart" uri="{C3380CC4-5D6E-409C-BE32-E72D297353CC}">
              <c16:uniqueId val="{00000002-B86E-4A85-B684-C5253926FCDF}"/>
            </c:ext>
          </c:extLst>
        </c:ser>
        <c:ser>
          <c:idx val="1"/>
          <c:order val="1"/>
          <c:tx>
            <c:strRef>
              <c:f>Analisis!$C$39</c:f>
              <c:strCache>
                <c:ptCount val="1"/>
                <c:pt idx="0">
                  <c:v>T1- Mas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Analisis!$A$40</c:f>
              <c:strCache>
                <c:ptCount val="1"/>
                <c:pt idx="0">
                  <c:v>Global</c:v>
                </c:pt>
              </c:strCache>
            </c:strRef>
          </c:cat>
          <c:val>
            <c:numRef>
              <c:f>Analisis!$C$40</c:f>
              <c:numCache>
                <c:formatCode>0</c:formatCode>
                <c:ptCount val="1"/>
                <c:pt idx="0">
                  <c:v>277.42857142857144</c:v>
                </c:pt>
              </c:numCache>
            </c:numRef>
          </c:val>
          <c:extLst>
            <c:ext xmlns:c16="http://schemas.microsoft.com/office/drawing/2014/chart" uri="{C3380CC4-5D6E-409C-BE32-E72D297353CC}">
              <c16:uniqueId val="{00000003-B86E-4A85-B684-C5253926FCDF}"/>
            </c:ext>
          </c:extLst>
        </c:ser>
        <c:ser>
          <c:idx val="2"/>
          <c:order val="2"/>
          <c:tx>
            <c:strRef>
              <c:f>Analisis!$D$39</c:f>
              <c:strCache>
                <c:ptCount val="1"/>
                <c:pt idx="0">
                  <c:v>T2- Fem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Analisis!$A$40</c:f>
              <c:strCache>
                <c:ptCount val="1"/>
                <c:pt idx="0">
                  <c:v>Global</c:v>
                </c:pt>
              </c:strCache>
            </c:strRef>
          </c:cat>
          <c:val>
            <c:numRef>
              <c:f>Analisis!$D$40</c:f>
              <c:numCache>
                <c:formatCode>0</c:formatCode>
                <c:ptCount val="1"/>
                <c:pt idx="0">
                  <c:v>29.2</c:v>
                </c:pt>
              </c:numCache>
            </c:numRef>
          </c:val>
          <c:extLst>
            <c:ext xmlns:c16="http://schemas.microsoft.com/office/drawing/2014/chart" uri="{C3380CC4-5D6E-409C-BE32-E72D297353CC}">
              <c16:uniqueId val="{00000004-B86E-4A85-B684-C5253926FCDF}"/>
            </c:ext>
          </c:extLst>
        </c:ser>
        <c:ser>
          <c:idx val="3"/>
          <c:order val="3"/>
          <c:tx>
            <c:strRef>
              <c:f>Analisis!$E$39</c:f>
              <c:strCache>
                <c:ptCount val="1"/>
                <c:pt idx="0">
                  <c:v>T2- Mas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Analisis!$A$40</c:f>
              <c:strCache>
                <c:ptCount val="1"/>
                <c:pt idx="0">
                  <c:v>Global</c:v>
                </c:pt>
              </c:strCache>
            </c:strRef>
          </c:cat>
          <c:val>
            <c:numRef>
              <c:f>Analisis!$E$40</c:f>
              <c:numCache>
                <c:formatCode>0</c:formatCode>
                <c:ptCount val="1"/>
                <c:pt idx="0">
                  <c:v>41.142857142857146</c:v>
                </c:pt>
              </c:numCache>
            </c:numRef>
          </c:val>
          <c:extLst>
            <c:ext xmlns:c16="http://schemas.microsoft.com/office/drawing/2014/chart" uri="{C3380CC4-5D6E-409C-BE32-E72D297353CC}">
              <c16:uniqueId val="{00000000-B86E-4A85-B684-C5253926FCDF}"/>
            </c:ext>
          </c:extLst>
        </c:ser>
        <c:ser>
          <c:idx val="4"/>
          <c:order val="4"/>
          <c:tx>
            <c:strRef>
              <c:f>Analisis!$F$39</c:f>
              <c:strCache>
                <c:ptCount val="1"/>
                <c:pt idx="0">
                  <c:v>T3- Fem</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Analisis!$A$40</c:f>
              <c:strCache>
                <c:ptCount val="1"/>
                <c:pt idx="0">
                  <c:v>Global</c:v>
                </c:pt>
              </c:strCache>
            </c:strRef>
          </c:cat>
          <c:val>
            <c:numRef>
              <c:f>Analisis!$F$40</c:f>
              <c:numCache>
                <c:formatCode>0</c:formatCode>
                <c:ptCount val="1"/>
                <c:pt idx="0">
                  <c:v>174</c:v>
                </c:pt>
              </c:numCache>
            </c:numRef>
          </c:val>
          <c:extLst>
            <c:ext xmlns:c16="http://schemas.microsoft.com/office/drawing/2014/chart" uri="{C3380CC4-5D6E-409C-BE32-E72D297353CC}">
              <c16:uniqueId val="{00000001-B86E-4A85-B684-C5253926FCDF}"/>
            </c:ext>
          </c:extLst>
        </c:ser>
        <c:ser>
          <c:idx val="5"/>
          <c:order val="5"/>
          <c:tx>
            <c:strRef>
              <c:f>Analisis!$G$39</c:f>
              <c:strCache>
                <c:ptCount val="1"/>
                <c:pt idx="0">
                  <c:v>T3- Mas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Analisis!$A$40</c:f>
              <c:strCache>
                <c:ptCount val="1"/>
                <c:pt idx="0">
                  <c:v>Global</c:v>
                </c:pt>
              </c:strCache>
            </c:strRef>
          </c:cat>
          <c:val>
            <c:numRef>
              <c:f>Analisis!$G$40</c:f>
              <c:numCache>
                <c:formatCode>0</c:formatCode>
                <c:ptCount val="1"/>
                <c:pt idx="0">
                  <c:v>90.833333333333329</c:v>
                </c:pt>
              </c:numCache>
            </c:numRef>
          </c:val>
          <c:extLst>
            <c:ext xmlns:c16="http://schemas.microsoft.com/office/drawing/2014/chart" uri="{C3380CC4-5D6E-409C-BE32-E72D297353CC}">
              <c16:uniqueId val="{00000005-B86E-4A85-B684-C5253926FCDF}"/>
            </c:ext>
          </c:extLst>
        </c:ser>
        <c:ser>
          <c:idx val="6"/>
          <c:order val="6"/>
          <c:tx>
            <c:strRef>
              <c:f>Analisis!$H$39</c:f>
              <c:strCache>
                <c:ptCount val="1"/>
                <c:pt idx="0">
                  <c:v>Total- Fem</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Analisis!$A$40</c:f>
              <c:strCache>
                <c:ptCount val="1"/>
                <c:pt idx="0">
                  <c:v>Global</c:v>
                </c:pt>
              </c:strCache>
            </c:strRef>
          </c:cat>
          <c:val>
            <c:numRef>
              <c:f>Analisis!$H$40</c:f>
              <c:numCache>
                <c:formatCode>0</c:formatCode>
                <c:ptCount val="1"/>
                <c:pt idx="0">
                  <c:v>417.79999999999995</c:v>
                </c:pt>
              </c:numCache>
            </c:numRef>
          </c:val>
          <c:extLst>
            <c:ext xmlns:c16="http://schemas.microsoft.com/office/drawing/2014/chart" uri="{C3380CC4-5D6E-409C-BE32-E72D297353CC}">
              <c16:uniqueId val="{00000006-B86E-4A85-B684-C5253926FCDF}"/>
            </c:ext>
          </c:extLst>
        </c:ser>
        <c:ser>
          <c:idx val="7"/>
          <c:order val="7"/>
          <c:tx>
            <c:strRef>
              <c:f>Analisis!$I$39</c:f>
              <c:strCache>
                <c:ptCount val="1"/>
                <c:pt idx="0">
                  <c:v>Total- Mas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Analisis!$A$40</c:f>
              <c:strCache>
                <c:ptCount val="1"/>
                <c:pt idx="0">
                  <c:v>Global</c:v>
                </c:pt>
              </c:strCache>
            </c:strRef>
          </c:cat>
          <c:val>
            <c:numRef>
              <c:f>Analisis!$I$40</c:f>
              <c:numCache>
                <c:formatCode>0</c:formatCode>
                <c:ptCount val="1"/>
                <c:pt idx="0">
                  <c:v>409.40476190476193</c:v>
                </c:pt>
              </c:numCache>
            </c:numRef>
          </c:val>
          <c:extLst>
            <c:ext xmlns:c16="http://schemas.microsoft.com/office/drawing/2014/chart" uri="{C3380CC4-5D6E-409C-BE32-E72D297353CC}">
              <c16:uniqueId val="{00000007-B86E-4A85-B684-C5253926FCDF}"/>
            </c:ext>
          </c:extLst>
        </c:ser>
        <c:dLbls>
          <c:dLblPos val="inEnd"/>
          <c:showLegendKey val="0"/>
          <c:showVal val="1"/>
          <c:showCatName val="0"/>
          <c:showSerName val="0"/>
          <c:showPercent val="0"/>
          <c:showBubbleSize val="0"/>
        </c:dLbls>
        <c:gapWidth val="100"/>
        <c:overlap val="-24"/>
        <c:axId val="1286951184"/>
        <c:axId val="1286950224"/>
        <c:extLst/>
      </c:barChart>
      <c:catAx>
        <c:axId val="128695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0224"/>
        <c:crosses val="autoZero"/>
        <c:auto val="1"/>
        <c:lblAlgn val="ctr"/>
        <c:lblOffset val="100"/>
        <c:noMultiLvlLbl val="0"/>
      </c:catAx>
      <c:valAx>
        <c:axId val="128695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86951184"/>
        <c:crosses val="autoZero"/>
        <c:crossBetween val="between"/>
      </c:valAx>
      <c:spPr>
        <a:noFill/>
        <a:ln>
          <a:noFill/>
        </a:ln>
        <a:effectLst/>
      </c:spPr>
    </c:plotArea>
    <c:legend>
      <c:legendPos val="r"/>
      <c:layout>
        <c:manualLayout>
          <c:xMode val="edge"/>
          <c:yMode val="edge"/>
          <c:x val="0"/>
          <c:y val="0.80092614979144217"/>
          <c:w val="0.99970755214135099"/>
          <c:h val="0.18672329859182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pieChart>
        <c:varyColors val="1"/>
        <c:ser>
          <c:idx val="0"/>
          <c:order val="0"/>
          <c:tx>
            <c:strRef>
              <c:f>Analisis!$G$43</c:f>
              <c:strCache>
                <c:ptCount val="1"/>
                <c:pt idx="0">
                  <c:v>Usuarios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7E-41E4-A57D-46185784A0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67E-41E4-A57D-46185784A0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Analisis!$F$44:$F$45</c:f>
              <c:strCache>
                <c:ptCount val="2"/>
                <c:pt idx="0">
                  <c:v>Masculino</c:v>
                </c:pt>
                <c:pt idx="1">
                  <c:v>Femenino</c:v>
                </c:pt>
              </c:strCache>
            </c:strRef>
          </c:cat>
          <c:val>
            <c:numRef>
              <c:f>Analisis!$G$44:$G$45</c:f>
              <c:numCache>
                <c:formatCode>General</c:formatCode>
                <c:ptCount val="2"/>
                <c:pt idx="0">
                  <c:v>7</c:v>
                </c:pt>
                <c:pt idx="1">
                  <c:v>5</c:v>
                </c:pt>
              </c:numCache>
            </c:numRef>
          </c:val>
          <c:extLst>
            <c:ext xmlns:c16="http://schemas.microsoft.com/office/drawing/2014/chart" uri="{C3380CC4-5D6E-409C-BE32-E72D297353CC}">
              <c16:uniqueId val="{00000000-A924-4767-A235-0F0022CF4998}"/>
            </c:ext>
          </c:extLst>
        </c:ser>
        <c:ser>
          <c:idx val="1"/>
          <c:order val="1"/>
          <c:tx>
            <c:strRef>
              <c:f>Analisis!$H$43</c:f>
              <c:strCache>
                <c:ptCount val="1"/>
                <c:pt idx="0">
                  <c:v>Exitos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67E-41E4-A57D-46185784A0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67E-41E4-A57D-46185784A01D}"/>
              </c:ext>
            </c:extLst>
          </c:dPt>
          <c:cat>
            <c:strRef>
              <c:f>Analisis!$F$44:$F$45</c:f>
              <c:strCache>
                <c:ptCount val="2"/>
                <c:pt idx="0">
                  <c:v>Masculino</c:v>
                </c:pt>
                <c:pt idx="1">
                  <c:v>Femenino</c:v>
                </c:pt>
              </c:strCache>
            </c:strRef>
          </c:cat>
          <c:val>
            <c:numRef>
              <c:f>Analisis!$H$44:$H$45</c:f>
              <c:numCache>
                <c:formatCode>General</c:formatCode>
                <c:ptCount val="2"/>
                <c:pt idx="0">
                  <c:v>6</c:v>
                </c:pt>
                <c:pt idx="1">
                  <c:v>5</c:v>
                </c:pt>
              </c:numCache>
            </c:numRef>
          </c:val>
          <c:extLst>
            <c:ext xmlns:c16="http://schemas.microsoft.com/office/drawing/2014/chart" uri="{C3380CC4-5D6E-409C-BE32-E72D297353CC}">
              <c16:uniqueId val="{00000001-A924-4767-A235-0F0022CF4998}"/>
            </c:ext>
          </c:extLst>
        </c:ser>
        <c:ser>
          <c:idx val="2"/>
          <c:order val="2"/>
          <c:tx>
            <c:strRef>
              <c:f>Analisis!$I$43</c:f>
              <c:strCache>
                <c:ptCount val="1"/>
                <c:pt idx="0">
                  <c:v>Porcentajes Éxito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67E-41E4-A57D-46185784A0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67E-41E4-A57D-46185784A01D}"/>
              </c:ext>
            </c:extLst>
          </c:dPt>
          <c:cat>
            <c:strRef>
              <c:f>Analisis!$F$44:$F$45</c:f>
              <c:strCache>
                <c:ptCount val="2"/>
                <c:pt idx="0">
                  <c:v>Masculino</c:v>
                </c:pt>
                <c:pt idx="1">
                  <c:v>Femenino</c:v>
                </c:pt>
              </c:strCache>
            </c:strRef>
          </c:cat>
          <c:val>
            <c:numRef>
              <c:f>Analisis!$I$44:$I$45</c:f>
              <c:numCache>
                <c:formatCode>0%</c:formatCode>
                <c:ptCount val="2"/>
                <c:pt idx="0">
                  <c:v>0.8571428571428571</c:v>
                </c:pt>
                <c:pt idx="1">
                  <c:v>1</c:v>
                </c:pt>
              </c:numCache>
            </c:numRef>
          </c:val>
          <c:extLst>
            <c:ext xmlns:c16="http://schemas.microsoft.com/office/drawing/2014/chart" uri="{C3380CC4-5D6E-409C-BE32-E72D297353CC}">
              <c16:uniqueId val="{00000002-A924-4767-A235-0F0022CF49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pieChart>
        <c:varyColors val="1"/>
        <c:ser>
          <c:idx val="2"/>
          <c:order val="2"/>
          <c:tx>
            <c:strRef>
              <c:f>Analisis!$I$43</c:f>
              <c:strCache>
                <c:ptCount val="1"/>
                <c:pt idx="0">
                  <c:v>Porcentajes Éxito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8FB-428A-808E-8F64302805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8FB-428A-808E-8F64302805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Analisis!$F$44:$F$45</c:f>
              <c:strCache>
                <c:ptCount val="2"/>
                <c:pt idx="0">
                  <c:v>Masculino</c:v>
                </c:pt>
                <c:pt idx="1">
                  <c:v>Femenino</c:v>
                </c:pt>
              </c:strCache>
            </c:strRef>
          </c:cat>
          <c:val>
            <c:numRef>
              <c:f>Analisis!$I$44:$I$45</c:f>
              <c:numCache>
                <c:formatCode>0%</c:formatCode>
                <c:ptCount val="2"/>
                <c:pt idx="0">
                  <c:v>0.8571428571428571</c:v>
                </c:pt>
                <c:pt idx="1">
                  <c:v>1</c:v>
                </c:pt>
              </c:numCache>
            </c:numRef>
          </c:val>
          <c:extLst>
            <c:ext xmlns:c16="http://schemas.microsoft.com/office/drawing/2014/chart" uri="{C3380CC4-5D6E-409C-BE32-E72D297353CC}">
              <c16:uniqueId val="{0000000E-08FB-428A-808E-8F64302805A5}"/>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Analisis!$G$43</c15:sqref>
                        </c15:formulaRef>
                      </c:ext>
                    </c:extLst>
                    <c:strCache>
                      <c:ptCount val="1"/>
                      <c:pt idx="0">
                        <c:v>Usuarios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FB-428A-808E-8F64302805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FB-428A-808E-8F64302805A5}"/>
                    </c:ext>
                  </c:extLst>
                </c:dPt>
                <c:cat>
                  <c:strRef>
                    <c:extLst>
                      <c:ext uri="{02D57815-91ED-43cb-92C2-25804820EDAC}">
                        <c15:formulaRef>
                          <c15:sqref>Analisis!$F$44:$F$45</c15:sqref>
                        </c15:formulaRef>
                      </c:ext>
                    </c:extLst>
                    <c:strCache>
                      <c:ptCount val="2"/>
                      <c:pt idx="0">
                        <c:v>Masculino</c:v>
                      </c:pt>
                      <c:pt idx="1">
                        <c:v>Femenino</c:v>
                      </c:pt>
                    </c:strCache>
                  </c:strRef>
                </c:cat>
                <c:val>
                  <c:numRef>
                    <c:extLst>
                      <c:ext uri="{02D57815-91ED-43cb-92C2-25804820EDAC}">
                        <c15:formulaRef>
                          <c15:sqref>Analisis!$G$44:$G$45</c15:sqref>
                        </c15:formulaRef>
                      </c:ext>
                    </c:extLst>
                    <c:numCache>
                      <c:formatCode>General</c:formatCode>
                      <c:ptCount val="2"/>
                      <c:pt idx="0">
                        <c:v>7</c:v>
                      </c:pt>
                      <c:pt idx="1">
                        <c:v>5</c:v>
                      </c:pt>
                    </c:numCache>
                  </c:numRef>
                </c:val>
                <c:extLst>
                  <c:ext xmlns:c16="http://schemas.microsoft.com/office/drawing/2014/chart" uri="{C3380CC4-5D6E-409C-BE32-E72D297353CC}">
                    <c16:uniqueId val="{00000004-08FB-428A-808E-8F64302805A5}"/>
                  </c:ext>
                </c:extLst>
              </c15:ser>
            </c15:filteredPieSeries>
            <c15:filteredPieSeries>
              <c15:ser>
                <c:idx val="1"/>
                <c:order val="1"/>
                <c:tx>
                  <c:strRef>
                    <c:extLst>
                      <c:ext xmlns:c15="http://schemas.microsoft.com/office/drawing/2012/chart" uri="{02D57815-91ED-43cb-92C2-25804820EDAC}">
                        <c15:formulaRef>
                          <c15:sqref>Analisis!$H$43</c15:sqref>
                        </c15:formulaRef>
                      </c:ext>
                    </c:extLst>
                    <c:strCache>
                      <c:ptCount val="1"/>
                      <c:pt idx="0">
                        <c:v>Exitos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06-08FB-428A-808E-8F64302805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08-08FB-428A-808E-8F64302805A5}"/>
                    </c:ext>
                  </c:extLst>
                </c:dPt>
                <c:cat>
                  <c:strRef>
                    <c:extLst>
                      <c:ext xmlns:c15="http://schemas.microsoft.com/office/drawing/2012/chart" uri="{02D57815-91ED-43cb-92C2-25804820EDAC}">
                        <c15:formulaRef>
                          <c15:sqref>Analisis!$F$44:$F$45</c15:sqref>
                        </c15:formulaRef>
                      </c:ext>
                    </c:extLst>
                    <c:strCache>
                      <c:ptCount val="2"/>
                      <c:pt idx="0">
                        <c:v>Masculino</c:v>
                      </c:pt>
                      <c:pt idx="1">
                        <c:v>Femenino</c:v>
                      </c:pt>
                    </c:strCache>
                  </c:strRef>
                </c:cat>
                <c:val>
                  <c:numRef>
                    <c:extLst>
                      <c:ext xmlns:c15="http://schemas.microsoft.com/office/drawing/2012/chart" uri="{02D57815-91ED-43cb-92C2-25804820EDAC}">
                        <c15:formulaRef>
                          <c15:sqref>Analisis!$H$44:$H$45</c15:sqref>
                        </c15:formulaRef>
                      </c:ext>
                    </c:extLst>
                    <c:numCache>
                      <c:formatCode>General</c:formatCode>
                      <c:ptCount val="2"/>
                      <c:pt idx="0">
                        <c:v>6</c:v>
                      </c:pt>
                      <c:pt idx="1">
                        <c:v>5</c:v>
                      </c:pt>
                    </c:numCache>
                  </c:numRef>
                </c:val>
                <c:extLst xmlns:c15="http://schemas.microsoft.com/office/drawing/2012/chart">
                  <c:ext xmlns:c16="http://schemas.microsoft.com/office/drawing/2014/chart" uri="{C3380CC4-5D6E-409C-BE32-E72D297353CC}">
                    <c16:uniqueId val="{00000009-08FB-428A-808E-8F64302805A5}"/>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1355911</xdr:colOff>
      <xdr:row>6</xdr:row>
      <xdr:rowOff>24651</xdr:rowOff>
    </xdr:from>
    <xdr:to>
      <xdr:col>6</xdr:col>
      <xdr:colOff>1306044</xdr:colOff>
      <xdr:row>18</xdr:row>
      <xdr:rowOff>34176</xdr:rowOff>
    </xdr:to>
    <xdr:graphicFrame macro="">
      <xdr:nvGraphicFramePr>
        <xdr:cNvPr id="3" name="Gráfico 2">
          <a:extLst>
            <a:ext uri="{FF2B5EF4-FFF2-40B4-BE49-F238E27FC236}">
              <a16:creationId xmlns:a16="http://schemas.microsoft.com/office/drawing/2014/main" id="{F07726D2-1238-4D57-81D9-E26D91195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11206</xdr:rowOff>
    </xdr:from>
    <xdr:to>
      <xdr:col>3</xdr:col>
      <xdr:colOff>1288676</xdr:colOff>
      <xdr:row>18</xdr:row>
      <xdr:rowOff>20731</xdr:rowOff>
    </xdr:to>
    <xdr:graphicFrame macro="">
      <xdr:nvGraphicFramePr>
        <xdr:cNvPr id="4" name="Gráfico 3">
          <a:extLst>
            <a:ext uri="{FF2B5EF4-FFF2-40B4-BE49-F238E27FC236}">
              <a16:creationId xmlns:a16="http://schemas.microsoft.com/office/drawing/2014/main" id="{AD2FC541-AA59-4AE8-85DF-D96BAED9F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1367118</xdr:colOff>
      <xdr:row>6</xdr:row>
      <xdr:rowOff>20731</xdr:rowOff>
    </xdr:from>
    <xdr:to>
      <xdr:col>9</xdr:col>
      <xdr:colOff>829236</xdr:colOff>
      <xdr:row>18</xdr:row>
      <xdr:rowOff>20731</xdr:rowOff>
    </xdr:to>
    <xdr:graphicFrame macro="">
      <xdr:nvGraphicFramePr>
        <xdr:cNvPr id="5" name="Gráfico 4">
          <a:extLst>
            <a:ext uri="{FF2B5EF4-FFF2-40B4-BE49-F238E27FC236}">
              <a16:creationId xmlns:a16="http://schemas.microsoft.com/office/drawing/2014/main" id="{ECD11F8D-698F-405B-89AC-DAF9BAEFF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78441</xdr:rowOff>
    </xdr:from>
    <xdr:to>
      <xdr:col>3</xdr:col>
      <xdr:colOff>1288676</xdr:colOff>
      <xdr:row>37</xdr:row>
      <xdr:rowOff>87966</xdr:rowOff>
    </xdr:to>
    <xdr:graphicFrame macro="">
      <xdr:nvGraphicFramePr>
        <xdr:cNvPr id="7" name="Gráfico 6">
          <a:extLst>
            <a:ext uri="{FF2B5EF4-FFF2-40B4-BE49-F238E27FC236}">
              <a16:creationId xmlns:a16="http://schemas.microsoft.com/office/drawing/2014/main" id="{50A5EFD9-D1CE-4252-A9B4-5A8AB3776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896471</xdr:colOff>
      <xdr:row>6</xdr:row>
      <xdr:rowOff>33618</xdr:rowOff>
    </xdr:from>
    <xdr:to>
      <xdr:col>12</xdr:col>
      <xdr:colOff>1008529</xdr:colOff>
      <xdr:row>18</xdr:row>
      <xdr:rowOff>33618</xdr:rowOff>
    </xdr:to>
    <xdr:graphicFrame macro="">
      <xdr:nvGraphicFramePr>
        <xdr:cNvPr id="11" name="Gráfico 10">
          <a:extLst>
            <a:ext uri="{FF2B5EF4-FFF2-40B4-BE49-F238E27FC236}">
              <a16:creationId xmlns:a16="http://schemas.microsoft.com/office/drawing/2014/main" id="{0321BD14-203D-47D2-888E-DC2C5786D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1333499</xdr:colOff>
      <xdr:row>25</xdr:row>
      <xdr:rowOff>78442</xdr:rowOff>
    </xdr:from>
    <xdr:to>
      <xdr:col>6</xdr:col>
      <xdr:colOff>1266264</xdr:colOff>
      <xdr:row>37</xdr:row>
      <xdr:rowOff>87967</xdr:rowOff>
    </xdr:to>
    <xdr:graphicFrame macro="">
      <xdr:nvGraphicFramePr>
        <xdr:cNvPr id="13" name="Gráfico 12">
          <a:extLst>
            <a:ext uri="{FF2B5EF4-FFF2-40B4-BE49-F238E27FC236}">
              <a16:creationId xmlns:a16="http://schemas.microsoft.com/office/drawing/2014/main" id="{E530F46E-4E9F-40EF-8A6B-28442D057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1344706</xdr:colOff>
      <xdr:row>25</xdr:row>
      <xdr:rowOff>89647</xdr:rowOff>
    </xdr:from>
    <xdr:to>
      <xdr:col>9</xdr:col>
      <xdr:colOff>851648</xdr:colOff>
      <xdr:row>37</xdr:row>
      <xdr:rowOff>99172</xdr:rowOff>
    </xdr:to>
    <xdr:graphicFrame macro="">
      <xdr:nvGraphicFramePr>
        <xdr:cNvPr id="14" name="Gráfico 13">
          <a:extLst>
            <a:ext uri="{FF2B5EF4-FFF2-40B4-BE49-F238E27FC236}">
              <a16:creationId xmlns:a16="http://schemas.microsoft.com/office/drawing/2014/main" id="{D19C2C07-D086-48D0-964E-BE45E6B3E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930088</xdr:colOff>
      <xdr:row>25</xdr:row>
      <xdr:rowOff>89649</xdr:rowOff>
    </xdr:from>
    <xdr:to>
      <xdr:col>12</xdr:col>
      <xdr:colOff>1008530</xdr:colOff>
      <xdr:row>37</xdr:row>
      <xdr:rowOff>99174</xdr:rowOff>
    </xdr:to>
    <xdr:graphicFrame macro="">
      <xdr:nvGraphicFramePr>
        <xdr:cNvPr id="15" name="Gráfico 14">
          <a:extLst>
            <a:ext uri="{FF2B5EF4-FFF2-40B4-BE49-F238E27FC236}">
              <a16:creationId xmlns:a16="http://schemas.microsoft.com/office/drawing/2014/main" id="{35B7DC7C-D7BD-4CCC-BF55-868064CF5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930089</xdr:colOff>
      <xdr:row>37</xdr:row>
      <xdr:rowOff>190498</xdr:rowOff>
    </xdr:from>
    <xdr:to>
      <xdr:col>12</xdr:col>
      <xdr:colOff>1243853</xdr:colOff>
      <xdr:row>54</xdr:row>
      <xdr:rowOff>56029</xdr:rowOff>
    </xdr:to>
    <xdr:graphicFrame macro="">
      <xdr:nvGraphicFramePr>
        <xdr:cNvPr id="17" name="Gráfico 16">
          <a:extLst>
            <a:ext uri="{FF2B5EF4-FFF2-40B4-BE49-F238E27FC236}">
              <a16:creationId xmlns:a16="http://schemas.microsoft.com/office/drawing/2014/main" id="{B90CB844-B603-4D4D-9650-7D0342E9A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145675</xdr:colOff>
      <xdr:row>43</xdr:row>
      <xdr:rowOff>56030</xdr:rowOff>
    </xdr:from>
    <xdr:to>
      <xdr:col>4</xdr:col>
      <xdr:colOff>627528</xdr:colOff>
      <xdr:row>55</xdr:row>
      <xdr:rowOff>65555</xdr:rowOff>
    </xdr:to>
    <xdr:graphicFrame macro="">
      <xdr:nvGraphicFramePr>
        <xdr:cNvPr id="18" name="Gráfico 17">
          <a:extLst>
            <a:ext uri="{FF2B5EF4-FFF2-40B4-BE49-F238E27FC236}">
              <a16:creationId xmlns:a16="http://schemas.microsoft.com/office/drawing/2014/main" id="{8EE9B1B4-5642-47AE-899F-C24566C8E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424143</xdr:colOff>
      <xdr:row>46</xdr:row>
      <xdr:rowOff>31936</xdr:rowOff>
    </xdr:from>
    <xdr:to>
      <xdr:col>6</xdr:col>
      <xdr:colOff>1700493</xdr:colOff>
      <xdr:row>60</xdr:row>
      <xdr:rowOff>108136</xdr:rowOff>
    </xdr:to>
    <xdr:graphicFrame macro="">
      <xdr:nvGraphicFramePr>
        <xdr:cNvPr id="20" name="Gráfico 19">
          <a:extLst>
            <a:ext uri="{FF2B5EF4-FFF2-40B4-BE49-F238E27FC236}">
              <a16:creationId xmlns:a16="http://schemas.microsoft.com/office/drawing/2014/main" id="{08C784DA-6B55-E070-4883-9DC518FA4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941294</xdr:colOff>
      <xdr:row>46</xdr:row>
      <xdr:rowOff>9524</xdr:rowOff>
    </xdr:from>
    <xdr:to>
      <xdr:col>8</xdr:col>
      <xdr:colOff>2073088</xdr:colOff>
      <xdr:row>60</xdr:row>
      <xdr:rowOff>85724</xdr:rowOff>
    </xdr:to>
    <xdr:graphicFrame macro="">
      <xdr:nvGraphicFramePr>
        <xdr:cNvPr id="21" name="Gráfico 20">
          <a:extLst>
            <a:ext uri="{FF2B5EF4-FFF2-40B4-BE49-F238E27FC236}">
              <a16:creationId xmlns:a16="http://schemas.microsoft.com/office/drawing/2014/main" id="{81E15C82-C99E-4A56-8614-0250C9BD0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F13" totalsRowShown="0">
  <autoFilter ref="A1:F13" xr:uid="{00000000-0009-0000-0100-000001000000}"/>
  <tableColumns count="6">
    <tableColumn id="1" xr3:uid="{00000000-0010-0000-0000-000001000000}" name="ID"/>
    <tableColumn id="6" xr3:uid="{00000000-0010-0000-0000-000006000000}" name="Tanda"/>
    <tableColumn id="2" xr3:uid="{00000000-0010-0000-0000-000002000000}" name="Profesión"/>
    <tableColumn id="3" xr3:uid="{00000000-0010-0000-0000-000003000000}" name="Edad"/>
    <tableColumn id="4" xr3:uid="{00000000-0010-0000-0000-000004000000}" name="Genero"/>
    <tableColumn id="5" xr3:uid="{00000000-0010-0000-0000-000005000000}" name="Pericia Informátic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3" displayName="Tabla3" ref="A1:I1048576" totalsRowShown="0" headerRowDxfId="36">
  <autoFilter ref="A1:I1048576" xr:uid="{00000000-0009-0000-0100-000003000000}"/>
  <tableColumns count="9">
    <tableColumn id="1" xr3:uid="{00000000-0010-0000-0200-000001000000}" name="ID Usuario"/>
    <tableColumn id="2" xr3:uid="{00000000-0010-0000-0200-000002000000}" name="Dispositivo"/>
    <tableColumn id="3" xr3:uid="{00000000-0010-0000-0200-000003000000}" name="Ejercicio 1 - Tiempo (s)"/>
    <tableColumn id="4" xr3:uid="{00000000-0010-0000-0200-000004000000}" name="Ejercicio 1 - Puntuación  "/>
    <tableColumn id="11" xr3:uid="{8B85C65B-D1B3-46AE-A24F-230E04FA8B0C}" name="Ejercici 2 - Tiempo (s)"/>
    <tableColumn id="8" xr3:uid="{90F54C5C-90B9-4ACC-8AE6-D36E0D6960D3}" name="Ejercicio 3 - Tiempo (s)"/>
    <tableColumn id="5" xr3:uid="{00000000-0010-0000-0200-000005000000}" name="Comentarios del usuario" dataDxfId="35"/>
    <tableColumn id="6" xr3:uid="{00000000-0010-0000-0200-000006000000}" name="Propuesta de mejora" dataDxfId="34"/>
    <tableColumn id="7" xr3:uid="{00000000-0010-0000-0200-000007000000}" name="Valoración del usuari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77570C-46A8-4904-BC74-4F9835B0384B}" name="Tabla5" displayName="Tabla5" ref="A1:G5" totalsRowShown="0">
  <autoFilter ref="A1:G5" xr:uid="{A177570C-46A8-4904-BC74-4F9835B0384B}"/>
  <tableColumns count="7">
    <tableColumn id="1" xr3:uid="{D4675B64-A741-43DF-A0F7-213CBBB892AB}" name="Tanda" dataDxfId="33"/>
    <tableColumn id="2" xr3:uid="{30BEAF62-A77C-4FD9-B7C1-E94CEACB15CF}" name="Tarea 1" dataDxfId="32"/>
    <tableColumn id="3" xr3:uid="{87E043D4-1F59-48C8-9692-881C9A8364AE}" name="Media aciertos" dataDxfId="31"/>
    <tableColumn id="4" xr3:uid="{79FA65D9-0533-4DB9-BBFF-599438E56ED0}" name="Tarea 2" dataDxfId="30"/>
    <tableColumn id="5" xr3:uid="{D094E7F7-309E-43E6-9975-A621363F5A26}" name="Tarea 3" dataDxfId="29"/>
    <tableColumn id="6" xr3:uid="{E2BAF450-DB4E-4064-B6FF-ABF24BF2AA77}" name="Tiempo total medio" dataDxfId="28">
      <calculatedColumnFormula>B2+D2+E2</calculatedColumnFormula>
    </tableColumn>
    <tableColumn id="7" xr3:uid="{3F75D1D7-E8EB-4803-9328-E9265BF11A0E}" name="Valoración media"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3C96D4-48E2-4676-9EBE-D221145FB41E}" name="Tabla6" displayName="Tabla6" ref="A21:M25" totalsRowShown="0" headerRowBorderDxfId="26">
  <autoFilter ref="A21:M25" xr:uid="{A03C96D4-48E2-4676-9EBE-D221145FB41E}"/>
  <tableColumns count="13">
    <tableColumn id="1" xr3:uid="{0ACE4337-3668-4AD5-BACC-4B2006073179}" name="Tanda" dataDxfId="25"/>
    <tableColumn id="2" xr3:uid="{F36DCFD9-561F-46EA-9F2B-240C771ECA6B}" name="Programador - T1"/>
    <tableColumn id="3" xr3:uid="{A3C9D373-1B7B-4362-9E01-0446D1155AFD}" name="Media Usuarios - T1" dataDxfId="24"/>
    <tableColumn id="10" xr3:uid="{AF8D6C70-7D07-4BFD-AF51-5F6A3336F3E8}" name="Similitud - T1" dataDxfId="23" dataCellStyle="Porcentaje">
      <calculatedColumnFormula xml:space="preserve"> Tabla6[[#This Row],[Programador - T1]]/ Tabla6[[#This Row],[Media Usuarios - T1]]</calculatedColumnFormula>
    </tableColumn>
    <tableColumn id="4" xr3:uid="{477E8972-9910-4631-A35D-564D8D512BCB}" name="Programador - T2" dataDxfId="22"/>
    <tableColumn id="5" xr3:uid="{10009D13-09F0-4739-B9E2-714DBB9A9790}" name="Media Usuarios - T2" dataDxfId="21"/>
    <tableColumn id="11" xr3:uid="{F2E31367-31C0-466E-A65E-DCFAC5B00872}" name="Similitud - T2" dataDxfId="20" dataCellStyle="Porcentaje">
      <calculatedColumnFormula>Tabla6[[#This Row],[Programador - T2]]/Tabla6[[#This Row],[Media Usuarios - T2]]</calculatedColumnFormula>
    </tableColumn>
    <tableColumn id="6" xr3:uid="{3F52B1AF-2944-488D-86EB-670EAF8E602C}" name="Programador - T3" dataDxfId="19"/>
    <tableColumn id="7" xr3:uid="{B53C1A8D-26F2-4C2A-AC44-E3666861BC51}" name="Media Usuarios - T3" dataDxfId="18"/>
    <tableColumn id="12" xr3:uid="{97B9849D-3554-497F-AF69-2E940F56BC95}" name="Similitud - T3" dataDxfId="17" dataCellStyle="Porcentaje">
      <calculatedColumnFormula>Tabla6[[#This Row],[Programador - T3]]/Tabla6[[#This Row],[Media Usuarios - T3]]</calculatedColumnFormula>
    </tableColumn>
    <tableColumn id="8" xr3:uid="{AFCA8F84-860C-46B8-B312-BF0213A98CFE}" name="Programador - Total" dataDxfId="16"/>
    <tableColumn id="9" xr3:uid="{7BC2D0A6-0327-4175-8D39-FB084B573D70}" name="Media Usuarios - Total" dataDxfId="15"/>
    <tableColumn id="13" xr3:uid="{999DDC26-72E9-4103-BFAD-C1365A11E912}" name="Similitud - Total" dataDxfId="14" dataCellStyle="Porcentaje">
      <calculatedColumnFormula>Tabla6[[#This Row],[Programador - Total]]/Tabla6[[#This Row],[Media Usuarios - Total]]</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FB782EC-178C-42ED-8AE8-34FD2B31FBA1}" name="Tabla68" displayName="Tabla68" ref="A39:I40" totalsRowShown="0" headerRowBorderDxfId="13">
  <autoFilter ref="A39:I40" xr:uid="{6FB782EC-178C-42ED-8AE8-34FD2B31FBA1}"/>
  <tableColumns count="9">
    <tableColumn id="1" xr3:uid="{0B8550C1-0B96-416A-8FE4-FB782AB665BE}" name="Tanda" dataDxfId="8"/>
    <tableColumn id="2" xr3:uid="{60618348-0EFF-434C-B7C9-8BA0A71FD9AC}" name="T1- Fem" dataDxfId="7">
      <calculatedColumnFormula>AVERAGE(Test!C1,Test!C2,Test!C4,Test!C9,Test!C12)</calculatedColumnFormula>
    </tableColumn>
    <tableColumn id="3" xr3:uid="{34DECFA9-1473-41FE-9542-BB8207D19613}" name="T1- Mas" dataDxfId="6">
      <calculatedColumnFormula>AVERAGE(Test!C4,Test!C6,Test!C7,Test!C8,Test!C9,Test!C11,Test!C12)</calculatedColumnFormula>
    </tableColumn>
    <tableColumn id="4" xr3:uid="{E28E4C62-C06E-419F-A6C9-D4ABA425B717}" name="T2- Fem" dataDxfId="4">
      <calculatedColumnFormula>AVERAGE(Test!E2,Test!E3,Test!E5,Test!E10,Test!E13)</calculatedColumnFormula>
    </tableColumn>
    <tableColumn id="5" xr3:uid="{42D39B03-445C-445C-9A0C-47FBA2BD1079}" name="T2- Mas" dataDxfId="5">
      <calculatedColumnFormula>AVERAGE(Test!E4,Test!E6,Test!E7,Test!E8,Test!E9,Test!E11,Test!E12)</calculatedColumnFormula>
    </tableColumn>
    <tableColumn id="6" xr3:uid="{D9109C75-9B43-439A-BA9F-A68326C09638}" name="T3- Fem" dataDxfId="3">
      <calculatedColumnFormula>AVERAGE(Test!E2,Test!F3,Test!F5,Test!F10,Test!F13)</calculatedColumnFormula>
    </tableColumn>
    <tableColumn id="7" xr3:uid="{83490B1C-0E54-4847-B9DF-15FC23E6EF18}" name="T3- Mas" dataDxfId="2">
      <calculatedColumnFormula>AVERAGE(Test!F4,Test!F6,Test!F7,Test!F8,Test!F9,Test!F11,Test!F12)</calculatedColumnFormula>
    </tableColumn>
    <tableColumn id="8" xr3:uid="{6815B836-1012-4C1C-974E-A37A4D0DCC2C}" name="Total- Fem" dataDxfId="1">
      <calculatedColumnFormula>Tabla68[[#This Row],[T1- Fem]]+Tabla68[[#This Row],[T2- Fem]]+Tabla68[[#This Row],[T3- Fem]]</calculatedColumnFormula>
    </tableColumn>
    <tableColumn id="9" xr3:uid="{8207D7B6-82CB-45E5-BEB5-0F99A4B0EF05}" name="Total- Mas" dataDxfId="0">
      <calculatedColumnFormula>Tabla68[[#This Row],[T1- Mas]]+Tabla68[[#This Row],[T2- Mas]]+Tabla68[[#This Row],[T3- Mas]]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BA2072C-3478-497E-A412-75020A91ED25}" name="Tabla8" displayName="Tabla8" ref="F43:I45" totalsRowShown="0">
  <autoFilter ref="F43:I45" xr:uid="{ABA2072C-3478-497E-A412-75020A91ED25}"/>
  <tableColumns count="4">
    <tableColumn id="1" xr3:uid="{C2D58CD8-B734-4D68-9CE7-D5F985003510}" name="Generos"/>
    <tableColumn id="2" xr3:uid="{BEC6FB80-23AE-45A3-8202-465CA5D1FEEB}" name="Usuarios"/>
    <tableColumn id="3" xr3:uid="{F7B424EF-FBC4-42A1-93DB-E14F4C47263E}" name="Exitos"/>
    <tableColumn id="4" xr3:uid="{A5915315-DF9E-4ED1-85BC-9EDCC489E753}" name="Porcentajes Éxito" dataDxfId="12">
      <calculatedColumnFormula>Tabla8[[#This Row],[Exitos]]/Tabla8[[#This Row],[Usuarios]]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2" displayName="Tabla2" ref="A1:B1048576" totalsRowShown="0">
  <autoFilter ref="A1:B1048576" xr:uid="{00000000-0009-0000-0100-000002000000}"/>
  <tableColumns count="2">
    <tableColumn id="1" xr3:uid="{00000000-0010-0000-0100-000001000000}" name="ID Usuario"/>
    <tableColumn id="2" xr3:uid="{00000000-0010-0000-0100-000002000000}" name="Comentario" dataDxfId="37"/>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workbookViewId="0">
      <selection activeCell="F5" sqref="F5"/>
    </sheetView>
  </sheetViews>
  <sheetFormatPr baseColWidth="10" defaultRowHeight="15" x14ac:dyDescent="0.25"/>
  <cols>
    <col min="2" max="2" width="11.85546875" customWidth="1"/>
    <col min="3" max="3" width="35.85546875" customWidth="1"/>
    <col min="5" max="5" width="15.5703125" customWidth="1"/>
    <col min="6" max="6" width="32.42578125" customWidth="1"/>
  </cols>
  <sheetData>
    <row r="1" spans="1:6" x14ac:dyDescent="0.25">
      <c r="A1" t="s">
        <v>0</v>
      </c>
      <c r="B1" t="s">
        <v>11</v>
      </c>
      <c r="C1" t="s">
        <v>1</v>
      </c>
      <c r="D1" t="s">
        <v>2</v>
      </c>
      <c r="E1" t="s">
        <v>3</v>
      </c>
      <c r="F1" t="s">
        <v>4</v>
      </c>
    </row>
    <row r="2" spans="1:6" x14ac:dyDescent="0.25">
      <c r="A2">
        <v>1</v>
      </c>
      <c r="B2">
        <v>1</v>
      </c>
      <c r="C2" t="s">
        <v>30</v>
      </c>
      <c r="D2">
        <v>23</v>
      </c>
      <c r="E2" t="s">
        <v>13</v>
      </c>
      <c r="F2">
        <v>10</v>
      </c>
    </row>
    <row r="3" spans="1:6" x14ac:dyDescent="0.25">
      <c r="A3">
        <v>2</v>
      </c>
      <c r="B3">
        <v>1</v>
      </c>
      <c r="C3" t="s">
        <v>29</v>
      </c>
      <c r="D3">
        <v>19</v>
      </c>
      <c r="E3" t="s">
        <v>13</v>
      </c>
      <c r="F3">
        <v>6</v>
      </c>
    </row>
    <row r="4" spans="1:6" x14ac:dyDescent="0.25">
      <c r="A4">
        <v>3</v>
      </c>
      <c r="B4">
        <v>1</v>
      </c>
      <c r="C4" t="s">
        <v>21</v>
      </c>
      <c r="D4">
        <v>61</v>
      </c>
      <c r="E4" t="s">
        <v>12</v>
      </c>
      <c r="F4">
        <v>3</v>
      </c>
    </row>
    <row r="5" spans="1:6" x14ac:dyDescent="0.25">
      <c r="A5">
        <v>4</v>
      </c>
      <c r="B5">
        <v>1</v>
      </c>
      <c r="C5" t="s">
        <v>24</v>
      </c>
      <c r="D5">
        <v>54</v>
      </c>
      <c r="E5" t="s">
        <v>13</v>
      </c>
      <c r="F5">
        <v>7</v>
      </c>
    </row>
    <row r="6" spans="1:6" x14ac:dyDescent="0.25">
      <c r="A6">
        <v>5</v>
      </c>
      <c r="B6">
        <v>2</v>
      </c>
      <c r="C6" t="s">
        <v>28</v>
      </c>
      <c r="D6">
        <v>23</v>
      </c>
      <c r="E6" t="s">
        <v>12</v>
      </c>
      <c r="F6">
        <v>7</v>
      </c>
    </row>
    <row r="7" spans="1:6" x14ac:dyDescent="0.25">
      <c r="A7">
        <v>6</v>
      </c>
      <c r="B7">
        <v>2</v>
      </c>
      <c r="C7" t="s">
        <v>27</v>
      </c>
      <c r="D7">
        <v>22</v>
      </c>
      <c r="E7" t="s">
        <v>12</v>
      </c>
      <c r="F7">
        <v>6</v>
      </c>
    </row>
    <row r="8" spans="1:6" x14ac:dyDescent="0.25">
      <c r="A8">
        <v>7</v>
      </c>
      <c r="B8">
        <v>2</v>
      </c>
      <c r="C8" t="s">
        <v>39</v>
      </c>
      <c r="D8">
        <v>28</v>
      </c>
      <c r="E8" t="s">
        <v>12</v>
      </c>
      <c r="F8">
        <v>10</v>
      </c>
    </row>
    <row r="9" spans="1:6" x14ac:dyDescent="0.25">
      <c r="A9">
        <v>8</v>
      </c>
      <c r="B9">
        <v>2</v>
      </c>
      <c r="C9" t="s">
        <v>37</v>
      </c>
      <c r="D9">
        <v>30</v>
      </c>
      <c r="E9" t="s">
        <v>12</v>
      </c>
      <c r="F9">
        <v>7</v>
      </c>
    </row>
    <row r="10" spans="1:6" x14ac:dyDescent="0.25">
      <c r="A10">
        <v>9</v>
      </c>
      <c r="B10">
        <v>3</v>
      </c>
      <c r="C10" t="s">
        <v>44</v>
      </c>
      <c r="D10">
        <v>23</v>
      </c>
      <c r="E10" t="s">
        <v>13</v>
      </c>
      <c r="F10">
        <v>4</v>
      </c>
    </row>
    <row r="11" spans="1:6" x14ac:dyDescent="0.25">
      <c r="A11">
        <v>10</v>
      </c>
      <c r="B11">
        <v>3</v>
      </c>
      <c r="C11" t="s">
        <v>49</v>
      </c>
      <c r="D11">
        <v>21</v>
      </c>
      <c r="E11" t="s">
        <v>12</v>
      </c>
      <c r="F11">
        <v>10</v>
      </c>
    </row>
    <row r="12" spans="1:6" x14ac:dyDescent="0.25">
      <c r="A12">
        <v>11</v>
      </c>
      <c r="B12">
        <v>3</v>
      </c>
      <c r="C12" t="s">
        <v>53</v>
      </c>
      <c r="D12">
        <v>24</v>
      </c>
      <c r="E12" t="s">
        <v>12</v>
      </c>
      <c r="F12">
        <v>6</v>
      </c>
    </row>
    <row r="13" spans="1:6" x14ac:dyDescent="0.25">
      <c r="A13">
        <v>12</v>
      </c>
      <c r="B13">
        <v>3</v>
      </c>
      <c r="C13" t="s">
        <v>56</v>
      </c>
      <c r="D13">
        <v>20</v>
      </c>
      <c r="E13" t="s">
        <v>13</v>
      </c>
      <c r="F13">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topLeftCell="A2" zoomScaleNormal="100" workbookViewId="0">
      <selection activeCell="B6" sqref="B6"/>
    </sheetView>
  </sheetViews>
  <sheetFormatPr baseColWidth="10" defaultRowHeight="15" x14ac:dyDescent="0.25"/>
  <cols>
    <col min="1" max="1" width="12.42578125" customWidth="1"/>
    <col min="2" max="2" width="16.28515625" customWidth="1"/>
    <col min="3" max="3" width="14.140625" customWidth="1"/>
    <col min="4" max="4" width="14.42578125" customWidth="1"/>
    <col min="5" max="5" width="13.42578125" customWidth="1"/>
    <col min="6" max="6" width="15.5703125" customWidth="1"/>
    <col min="7" max="7" width="48" style="1" customWidth="1"/>
    <col min="8" max="8" width="35.140625" style="1" customWidth="1"/>
    <col min="9" max="9" width="19.85546875" customWidth="1"/>
  </cols>
  <sheetData>
    <row r="1" spans="1:9" ht="30" x14ac:dyDescent="0.25">
      <c r="A1" s="2" t="s">
        <v>5</v>
      </c>
      <c r="B1" s="2" t="s">
        <v>7</v>
      </c>
      <c r="C1" s="2" t="s">
        <v>67</v>
      </c>
      <c r="D1" s="2" t="s">
        <v>15</v>
      </c>
      <c r="E1" s="2" t="s">
        <v>66</v>
      </c>
      <c r="F1" s="2" t="s">
        <v>65</v>
      </c>
      <c r="G1" s="2" t="s">
        <v>8</v>
      </c>
      <c r="H1" s="2" t="s">
        <v>9</v>
      </c>
      <c r="I1" s="2" t="s">
        <v>10</v>
      </c>
    </row>
    <row r="2" spans="1:9" ht="90" x14ac:dyDescent="0.25">
      <c r="A2">
        <v>1</v>
      </c>
      <c r="B2" t="s">
        <v>63</v>
      </c>
      <c r="C2">
        <v>135</v>
      </c>
      <c r="D2">
        <v>10</v>
      </c>
      <c r="E2">
        <v>14</v>
      </c>
      <c r="F2">
        <v>57</v>
      </c>
      <c r="G2" s="1" t="s">
        <v>22</v>
      </c>
      <c r="H2" s="1" t="s">
        <v>23</v>
      </c>
      <c r="I2">
        <v>6</v>
      </c>
    </row>
    <row r="3" spans="1:9" ht="90" x14ac:dyDescent="0.25">
      <c r="A3">
        <v>2</v>
      </c>
      <c r="B3" t="s">
        <v>63</v>
      </c>
      <c r="C3">
        <v>195</v>
      </c>
      <c r="D3">
        <v>9</v>
      </c>
      <c r="E3">
        <v>33</v>
      </c>
      <c r="F3">
        <v>446</v>
      </c>
      <c r="G3" s="1" t="s">
        <v>17</v>
      </c>
      <c r="H3" s="1" t="s">
        <v>16</v>
      </c>
      <c r="I3">
        <v>5</v>
      </c>
    </row>
    <row r="4" spans="1:9" ht="30" x14ac:dyDescent="0.25">
      <c r="A4">
        <v>3</v>
      </c>
      <c r="B4" t="s">
        <v>62</v>
      </c>
      <c r="C4">
        <v>480</v>
      </c>
      <c r="D4">
        <v>7</v>
      </c>
      <c r="E4">
        <v>43</v>
      </c>
      <c r="F4" s="3" t="s">
        <v>64</v>
      </c>
      <c r="G4" s="1" t="s">
        <v>19</v>
      </c>
      <c r="H4" s="1" t="s">
        <v>20</v>
      </c>
      <c r="I4">
        <v>5</v>
      </c>
    </row>
    <row r="5" spans="1:9" ht="45" x14ac:dyDescent="0.25">
      <c r="A5">
        <v>4</v>
      </c>
      <c r="B5" t="s">
        <v>14</v>
      </c>
      <c r="C5">
        <v>216</v>
      </c>
      <c r="D5">
        <v>10</v>
      </c>
      <c r="E5">
        <v>28</v>
      </c>
      <c r="F5">
        <v>162</v>
      </c>
      <c r="G5" s="1" t="s">
        <v>42</v>
      </c>
      <c r="H5" s="1" t="s">
        <v>43</v>
      </c>
      <c r="I5">
        <v>6</v>
      </c>
    </row>
    <row r="6" spans="1:9" ht="30" x14ac:dyDescent="0.25">
      <c r="A6">
        <v>5</v>
      </c>
      <c r="B6" t="s">
        <v>14</v>
      </c>
      <c r="C6">
        <v>354</v>
      </c>
      <c r="D6">
        <v>10</v>
      </c>
      <c r="E6">
        <v>20</v>
      </c>
      <c r="F6">
        <v>78</v>
      </c>
      <c r="G6" s="1" t="s">
        <v>31</v>
      </c>
      <c r="H6" s="1" t="s">
        <v>32</v>
      </c>
      <c r="I6">
        <v>9</v>
      </c>
    </row>
    <row r="7" spans="1:9" ht="30" x14ac:dyDescent="0.25">
      <c r="A7">
        <v>6</v>
      </c>
      <c r="B7" t="s">
        <v>62</v>
      </c>
      <c r="C7">
        <v>220</v>
      </c>
      <c r="D7">
        <v>9</v>
      </c>
      <c r="E7">
        <v>92</v>
      </c>
      <c r="F7">
        <v>56</v>
      </c>
      <c r="G7" s="1" t="s">
        <v>33</v>
      </c>
      <c r="H7" s="1" t="s">
        <v>34</v>
      </c>
      <c r="I7">
        <v>8.5</v>
      </c>
    </row>
    <row r="8" spans="1:9" ht="60" x14ac:dyDescent="0.25">
      <c r="A8">
        <v>7</v>
      </c>
      <c r="B8" t="s">
        <v>14</v>
      </c>
      <c r="C8">
        <v>100</v>
      </c>
      <c r="D8">
        <v>10</v>
      </c>
      <c r="E8">
        <v>7</v>
      </c>
      <c r="F8">
        <v>77</v>
      </c>
      <c r="G8" s="1" t="s">
        <v>38</v>
      </c>
      <c r="H8" s="1" t="s">
        <v>50</v>
      </c>
      <c r="I8">
        <v>7</v>
      </c>
    </row>
    <row r="9" spans="1:9" ht="30" x14ac:dyDescent="0.25">
      <c r="A9">
        <v>8</v>
      </c>
      <c r="B9" t="s">
        <v>62</v>
      </c>
      <c r="C9">
        <v>285</v>
      </c>
      <c r="D9">
        <v>10</v>
      </c>
      <c r="E9">
        <v>72</v>
      </c>
      <c r="F9">
        <v>109</v>
      </c>
      <c r="G9" s="1" t="s">
        <v>40</v>
      </c>
      <c r="H9" s="1" t="s">
        <v>41</v>
      </c>
      <c r="I9">
        <v>7.5</v>
      </c>
    </row>
    <row r="10" spans="1:9" ht="30" x14ac:dyDescent="0.25">
      <c r="A10">
        <v>9</v>
      </c>
      <c r="B10" t="s">
        <v>63</v>
      </c>
      <c r="C10">
        <v>220</v>
      </c>
      <c r="D10">
        <v>10</v>
      </c>
      <c r="E10">
        <v>55</v>
      </c>
      <c r="F10">
        <v>91</v>
      </c>
      <c r="G10" s="1" t="s">
        <v>45</v>
      </c>
      <c r="H10" s="1" t="s">
        <v>41</v>
      </c>
      <c r="I10">
        <v>9</v>
      </c>
    </row>
    <row r="11" spans="1:9" ht="90" x14ac:dyDescent="0.25">
      <c r="A11">
        <v>10</v>
      </c>
      <c r="B11" t="s">
        <v>62</v>
      </c>
      <c r="C11">
        <v>164</v>
      </c>
      <c r="D11">
        <v>9</v>
      </c>
      <c r="E11">
        <v>15</v>
      </c>
      <c r="F11">
        <v>97</v>
      </c>
      <c r="G11" s="1" t="s">
        <v>52</v>
      </c>
      <c r="H11" s="1" t="s">
        <v>51</v>
      </c>
      <c r="I11">
        <v>8.5</v>
      </c>
    </row>
    <row r="12" spans="1:9" ht="45" x14ac:dyDescent="0.25">
      <c r="A12">
        <v>11</v>
      </c>
      <c r="B12" t="s">
        <v>14</v>
      </c>
      <c r="C12">
        <v>339</v>
      </c>
      <c r="D12">
        <v>10</v>
      </c>
      <c r="E12">
        <v>39</v>
      </c>
      <c r="F12">
        <v>128</v>
      </c>
      <c r="G12" s="1" t="s">
        <v>54</v>
      </c>
      <c r="H12" s="1" t="s">
        <v>55</v>
      </c>
      <c r="I12">
        <v>7</v>
      </c>
    </row>
    <row r="13" spans="1:9" ht="45" x14ac:dyDescent="0.25">
      <c r="A13">
        <v>12</v>
      </c>
      <c r="B13" t="s">
        <v>62</v>
      </c>
      <c r="C13">
        <v>307</v>
      </c>
      <c r="D13">
        <v>10</v>
      </c>
      <c r="E13">
        <v>16</v>
      </c>
      <c r="F13">
        <v>157</v>
      </c>
      <c r="G13" s="1" t="s">
        <v>57</v>
      </c>
      <c r="H13" s="1" t="s">
        <v>61</v>
      </c>
      <c r="I13">
        <v>8</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44936-2C67-4324-9604-88C4A512B8C7}">
  <dimension ref="A1:M47"/>
  <sheetViews>
    <sheetView tabSelected="1" topLeftCell="A25" zoomScale="85" zoomScaleNormal="85" workbookViewId="0">
      <selection activeCell="E52" sqref="E52"/>
    </sheetView>
  </sheetViews>
  <sheetFormatPr baseColWidth="10" defaultRowHeight="15" x14ac:dyDescent="0.25"/>
  <cols>
    <col min="2" max="2" width="19.5703125" customWidth="1"/>
    <col min="3" max="3" width="22.5703125" customWidth="1"/>
    <col min="4" max="4" width="23.5703125" customWidth="1"/>
    <col min="5" max="5" width="25.5703125" customWidth="1"/>
    <col min="6" max="6" width="24.7109375" customWidth="1"/>
    <col min="7" max="7" width="25.5703125" customWidth="1"/>
    <col min="8" max="8" width="26.85546875" customWidth="1"/>
    <col min="9" max="9" width="31.28515625" customWidth="1"/>
    <col min="10" max="10" width="28.85546875" customWidth="1"/>
    <col min="11" max="11" width="23.7109375" customWidth="1"/>
    <col min="12" max="12" width="18.7109375" customWidth="1"/>
    <col min="13" max="13" width="18.85546875" customWidth="1"/>
  </cols>
  <sheetData>
    <row r="1" spans="1:7" x14ac:dyDescent="0.25">
      <c r="A1" t="s">
        <v>11</v>
      </c>
      <c r="B1" t="s">
        <v>68</v>
      </c>
      <c r="C1" t="s">
        <v>74</v>
      </c>
      <c r="D1" t="s">
        <v>69</v>
      </c>
      <c r="E1" t="s">
        <v>70</v>
      </c>
      <c r="F1" t="s">
        <v>71</v>
      </c>
      <c r="G1" t="s">
        <v>72</v>
      </c>
    </row>
    <row r="2" spans="1:7" x14ac:dyDescent="0.25">
      <c r="A2" s="4">
        <v>1</v>
      </c>
      <c r="B2" s="6">
        <f>AVERAGE(Test!C2:C5)</f>
        <v>256.5</v>
      </c>
      <c r="C2" s="5">
        <f>AVERAGE(Test!D2:D5)</f>
        <v>9</v>
      </c>
      <c r="D2" s="6">
        <f>AVERAGE(Test!E2:E5)</f>
        <v>29.5</v>
      </c>
      <c r="E2" s="6">
        <f>AVERAGE(Test!F2,Test!F3,Test!F5)</f>
        <v>221.66666666666666</v>
      </c>
      <c r="F2" s="6">
        <f>B2+D2+E2</f>
        <v>507.66666666666663</v>
      </c>
      <c r="G2" s="5">
        <f>AVERAGE(Test!I2:I5)</f>
        <v>5.5</v>
      </c>
    </row>
    <row r="3" spans="1:7" x14ac:dyDescent="0.25">
      <c r="A3" s="4">
        <v>2</v>
      </c>
      <c r="B3" s="6">
        <f>AVERAGE(Test!C6:C9)</f>
        <v>239.75</v>
      </c>
      <c r="C3" s="5">
        <f>AVERAGE(Test!D6:D9)</f>
        <v>9.75</v>
      </c>
      <c r="D3" s="6">
        <f>AVERAGE(Test!E6:E9)</f>
        <v>47.75</v>
      </c>
      <c r="E3" s="6">
        <f>AVERAGE(Test!F6:F9)</f>
        <v>80</v>
      </c>
      <c r="F3" s="6">
        <f t="shared" ref="F3:F5" si="0">B3+D3+E3</f>
        <v>367.5</v>
      </c>
      <c r="G3" s="5">
        <f>AVERAGE(Test!I6:I9)</f>
        <v>8</v>
      </c>
    </row>
    <row r="4" spans="1:7" x14ac:dyDescent="0.25">
      <c r="A4" s="4">
        <v>3</v>
      </c>
      <c r="B4" s="6">
        <f>AVERAGE(Test!C10:C13)</f>
        <v>257.5</v>
      </c>
      <c r="C4" s="5">
        <f>AVERAGE(Test!D10:D13)</f>
        <v>9.75</v>
      </c>
      <c r="D4" s="6">
        <f>AVERAGE(Test!E10:E13)</f>
        <v>31.25</v>
      </c>
      <c r="E4" s="6">
        <f>AVERAGE(Test!F10:F13)</f>
        <v>118.25</v>
      </c>
      <c r="F4" s="6">
        <f t="shared" si="0"/>
        <v>407</v>
      </c>
      <c r="G4" s="5">
        <f>AVERAGE(Test!I10:I13)</f>
        <v>8.125</v>
      </c>
    </row>
    <row r="5" spans="1:7" x14ac:dyDescent="0.25">
      <c r="A5" s="4" t="s">
        <v>73</v>
      </c>
      <c r="B5" s="6">
        <f>AVERAGE(B2:B4)</f>
        <v>251.25</v>
      </c>
      <c r="C5" s="5">
        <f t="shared" ref="C5:E5" si="1">AVERAGE(C2:C4)</f>
        <v>9.5</v>
      </c>
      <c r="D5" s="6">
        <f t="shared" si="1"/>
        <v>36.166666666666664</v>
      </c>
      <c r="E5" s="6">
        <f t="shared" si="1"/>
        <v>139.9722222222222</v>
      </c>
      <c r="F5" s="6">
        <f t="shared" si="0"/>
        <v>427.38888888888891</v>
      </c>
      <c r="G5" s="5">
        <f>AVERAGE(G2:G4)</f>
        <v>7.208333333333333</v>
      </c>
    </row>
    <row r="20" spans="1:13" ht="15.75" thickBot="1" x14ac:dyDescent="0.3">
      <c r="A20" s="39"/>
      <c r="B20" s="39"/>
      <c r="C20" s="39"/>
    </row>
    <row r="21" spans="1:13" ht="15.75" thickBot="1" x14ac:dyDescent="0.3">
      <c r="A21" s="13" t="s">
        <v>11</v>
      </c>
      <c r="B21" s="8" t="s">
        <v>77</v>
      </c>
      <c r="C21" s="9" t="s">
        <v>75</v>
      </c>
      <c r="D21" s="10" t="s">
        <v>91</v>
      </c>
      <c r="E21" s="10" t="s">
        <v>78</v>
      </c>
      <c r="F21" s="31" t="s">
        <v>76</v>
      </c>
      <c r="G21" s="12" t="s">
        <v>90</v>
      </c>
      <c r="H21" s="31" t="s">
        <v>79</v>
      </c>
      <c r="I21" s="11" t="s">
        <v>80</v>
      </c>
      <c r="J21" s="12" t="s">
        <v>89</v>
      </c>
      <c r="K21" s="31" t="s">
        <v>86</v>
      </c>
      <c r="L21" s="31" t="s">
        <v>87</v>
      </c>
      <c r="M21" s="12" t="s">
        <v>88</v>
      </c>
    </row>
    <row r="22" spans="1:13" x14ac:dyDescent="0.25">
      <c r="A22" s="14">
        <v>1</v>
      </c>
      <c r="B22" s="16">
        <f>Test!C2</f>
        <v>135</v>
      </c>
      <c r="C22" s="17">
        <f>AVERAGE(Test!C3,Test!C4,Test!C5)</f>
        <v>297</v>
      </c>
      <c r="D22" s="32">
        <f xml:space="preserve"> Tabla6[[#This Row],[Programador - T1]]/ Tabla6[[#This Row],[Media Usuarios - T1]]</f>
        <v>0.45454545454545453</v>
      </c>
      <c r="E22" s="28">
        <f>Test!E2</f>
        <v>14</v>
      </c>
      <c r="F22" s="29">
        <f>AVERAGE(Test!E3,Test!E4,Test!E5)</f>
        <v>34.666666666666664</v>
      </c>
      <c r="G22" s="36">
        <f>Tabla6[[#This Row],[Programador - T2]]/Tabla6[[#This Row],[Media Usuarios - T2]]</f>
        <v>0.40384615384615385</v>
      </c>
      <c r="H22" s="30">
        <f>Test!F2</f>
        <v>57</v>
      </c>
      <c r="I22" s="21">
        <f>AVERAGE(Test!F3,Test!F4,Test!F5)</f>
        <v>304</v>
      </c>
      <c r="J22" s="36">
        <f>Tabla6[[#This Row],[Programador - T3]]/Tabla6[[#This Row],[Media Usuarios - T3]]</f>
        <v>0.1875</v>
      </c>
      <c r="K22" s="30">
        <f>Tabla6[[#This Row],[Programador - T1]]+Tabla6[[#This Row],[Programador - T2]]+Tabla6[[#This Row],[Programador - T3]]</f>
        <v>206</v>
      </c>
      <c r="L22" s="29">
        <f>Tabla6[[#This Row],[Media Usuarios - T1]]+Tabla6[[#This Row],[Media Usuarios - T2]]+Tabla6[[#This Row],[Media Usuarios - T3]]</f>
        <v>635.66666666666674</v>
      </c>
      <c r="M22" s="36">
        <f>Tabla6[[#This Row],[Programador - Total]]/Tabla6[[#This Row],[Media Usuarios - Total]]</f>
        <v>0.32406921866806498</v>
      </c>
    </row>
    <row r="23" spans="1:13" x14ac:dyDescent="0.25">
      <c r="A23" s="14">
        <v>2</v>
      </c>
      <c r="B23" s="18">
        <f>Test!C8</f>
        <v>100</v>
      </c>
      <c r="C23" s="19">
        <f>AVERAGE(Test!C6,Test!C7,Test!C9)</f>
        <v>286.33333333333331</v>
      </c>
      <c r="D23" s="33">
        <f xml:space="preserve"> Tabla6[[#This Row],[Programador - T1]]/ Tabla6[[#This Row],[Media Usuarios - T1]]</f>
        <v>0.34924330616996507</v>
      </c>
      <c r="E23" s="22">
        <f>Test!E8</f>
        <v>7</v>
      </c>
      <c r="F23" s="23">
        <f>AVERAGE(Test!E6,Test!E7,Test!E9)</f>
        <v>61.333333333333336</v>
      </c>
      <c r="G23" s="35">
        <f>Tabla6[[#This Row],[Programador - T2]]/Tabla6[[#This Row],[Media Usuarios - T2]]</f>
        <v>0.11413043478260869</v>
      </c>
      <c r="H23" s="26">
        <f>Test!F8</f>
        <v>77</v>
      </c>
      <c r="I23" s="19">
        <f>AVERAGE(Test!F6,Test!F7,Test!F9)</f>
        <v>81</v>
      </c>
      <c r="J23" s="35">
        <f>Tabla6[[#This Row],[Programador - T3]]/Tabla6[[#This Row],[Media Usuarios - T3]]</f>
        <v>0.95061728395061729</v>
      </c>
      <c r="K23" s="26">
        <f>Tabla6[[#This Row],[Programador - T1]]+Tabla6[[#This Row],[Programador - T2]]+Tabla6[[#This Row],[Programador - T3]]</f>
        <v>184</v>
      </c>
      <c r="L23" s="23">
        <f>Tabla6[[#This Row],[Media Usuarios - T1]]+Tabla6[[#This Row],[Media Usuarios - T2]]+Tabla6[[#This Row],[Media Usuarios - T3]]</f>
        <v>428.66666666666663</v>
      </c>
      <c r="M23" s="35">
        <f>Tabla6[[#This Row],[Programador - Total]]/Tabla6[[#This Row],[Media Usuarios - Total]]</f>
        <v>0.42923794712286162</v>
      </c>
    </row>
    <row r="24" spans="1:13" x14ac:dyDescent="0.25">
      <c r="A24" s="14">
        <v>3</v>
      </c>
      <c r="B24" s="18">
        <f>Test!C11</f>
        <v>164</v>
      </c>
      <c r="C24" s="19">
        <f>AVERAGE(Test!C10,Test!C12,Test!C13)</f>
        <v>288.66666666666669</v>
      </c>
      <c r="D24" s="33">
        <f xml:space="preserve"> Tabla6[[#This Row],[Programador - T1]]/ Tabla6[[#This Row],[Media Usuarios - T1]]</f>
        <v>0.56812933025404155</v>
      </c>
      <c r="E24" s="22">
        <f>Test!E11</f>
        <v>15</v>
      </c>
      <c r="F24" s="23">
        <f>AVERAGE(Test!E10,Test!E12,Test!E13)</f>
        <v>36.666666666666664</v>
      </c>
      <c r="G24" s="35">
        <f>Tabla6[[#This Row],[Programador - T2]]/Tabla6[[#This Row],[Media Usuarios - T2]]</f>
        <v>0.40909090909090912</v>
      </c>
      <c r="H24" s="26">
        <f>Test!F11</f>
        <v>97</v>
      </c>
      <c r="I24" s="19">
        <f>AVERAGE(Test!F10,Test!F12,Test!F13)</f>
        <v>125.33333333333333</v>
      </c>
      <c r="J24" s="35">
        <f>Tabla6[[#This Row],[Programador - T3]]/Tabla6[[#This Row],[Media Usuarios - T3]]</f>
        <v>0.77393617021276595</v>
      </c>
      <c r="K24" s="26">
        <f>Tabla6[[#This Row],[Programador - T1]]+Tabla6[[#This Row],[Programador - T2]]+Tabla6[[#This Row],[Programador - T3]]</f>
        <v>276</v>
      </c>
      <c r="L24" s="23">
        <f>Tabla6[[#This Row],[Media Usuarios - T1]]+Tabla6[[#This Row],[Media Usuarios - T2]]+Tabla6[[#This Row],[Media Usuarios - T3]]</f>
        <v>450.66666666666669</v>
      </c>
      <c r="M24" s="35">
        <f>Tabla6[[#This Row],[Programador - Total]]/Tabla6[[#This Row],[Media Usuarios - Total]]</f>
        <v>0.6124260355029586</v>
      </c>
    </row>
    <row r="25" spans="1:13" ht="15.75" thickBot="1" x14ac:dyDescent="0.3">
      <c r="A25" s="15" t="s">
        <v>73</v>
      </c>
      <c r="B25" s="20">
        <f>AVERAGE(B22:B24)</f>
        <v>133</v>
      </c>
      <c r="C25" s="20">
        <f>AVERAGE(C22:C24)</f>
        <v>290.66666666666669</v>
      </c>
      <c r="D25" s="34">
        <f xml:space="preserve"> Tabla6[[#This Row],[Programador - T1]]/ Tabla6[[#This Row],[Media Usuarios - T1]]</f>
        <v>0.45756880733944949</v>
      </c>
      <c r="E25" s="20">
        <f>AVERAGE(E22:E24)</f>
        <v>12</v>
      </c>
      <c r="F25" s="24">
        <f>AVERAGE(F22:F24)</f>
        <v>44.222222222222221</v>
      </c>
      <c r="G25" s="37">
        <f>Tabla6[[#This Row],[Programador - T2]]/Tabla6[[#This Row],[Media Usuarios - T2]]</f>
        <v>0.271356783919598</v>
      </c>
      <c r="H25" s="27">
        <f>AVERAGE(H22:H24)</f>
        <v>77</v>
      </c>
      <c r="I25" s="25">
        <f>AVERAGE(I22:I24)</f>
        <v>170.11111111111111</v>
      </c>
      <c r="J25" s="37">
        <f>Tabla6[[#This Row],[Programador - T3]]/Tabla6[[#This Row],[Media Usuarios - T3]]</f>
        <v>0.45264532984977141</v>
      </c>
      <c r="K25" s="27">
        <f>AVERAGE(K22:K24)</f>
        <v>222</v>
      </c>
      <c r="L25" s="24">
        <f>AVERAGE(L22:L24)</f>
        <v>505.00000000000006</v>
      </c>
      <c r="M25" s="37">
        <f>Tabla6[[#This Row],[Programador - Total]]/Tabla6[[#This Row],[Media Usuarios - Total]]</f>
        <v>0.43960396039603955</v>
      </c>
    </row>
    <row r="38" spans="1:9" ht="15.75" thickBot="1" x14ac:dyDescent="0.3"/>
    <row r="39" spans="1:9" x14ac:dyDescent="0.25">
      <c r="A39" s="13" t="s">
        <v>11</v>
      </c>
      <c r="B39" s="8" t="s">
        <v>81</v>
      </c>
      <c r="C39" s="8" t="s">
        <v>94</v>
      </c>
      <c r="D39" s="8" t="s">
        <v>83</v>
      </c>
      <c r="E39" s="8" t="s">
        <v>85</v>
      </c>
      <c r="F39" s="8" t="s">
        <v>82</v>
      </c>
      <c r="G39" s="8" t="s">
        <v>84</v>
      </c>
      <c r="H39" s="8" t="s">
        <v>92</v>
      </c>
      <c r="I39" s="8" t="s">
        <v>93</v>
      </c>
    </row>
    <row r="40" spans="1:9" ht="15.75" thickBot="1" x14ac:dyDescent="0.3">
      <c r="A40" s="7" t="s">
        <v>73</v>
      </c>
      <c r="B40" s="40">
        <f>AVERAGE(Test!C2,Test!C3,Test!C5,Test!C10,Test!C13)</f>
        <v>214.6</v>
      </c>
      <c r="C40" s="25">
        <f>AVERAGE(Test!C4,Test!C6,Test!C7,Test!C8,Test!C9,Test!C11,Test!C12)</f>
        <v>277.42857142857144</v>
      </c>
      <c r="D40" s="40">
        <f>AVERAGE(Test!E2,Test!E3,Test!E5,Test!E10,Test!E13)</f>
        <v>29.2</v>
      </c>
      <c r="E40" s="25">
        <f>AVERAGE(Test!E4,Test!E6,Test!E7,Test!E8,Test!E9,Test!E11,Test!E12)</f>
        <v>41.142857142857146</v>
      </c>
      <c r="F40" s="20">
        <f>AVERAGE(Test!E2,Test!F3,Test!F5,Test!F10,Test!F13)</f>
        <v>174</v>
      </c>
      <c r="G40" s="41">
        <f>AVERAGE(Test!F4,Test!F6,Test!F7,Test!F8,Test!F9,Test!F11,Test!F12)</f>
        <v>90.833333333333329</v>
      </c>
      <c r="H40" s="20">
        <f>Tabla68[[#This Row],[T1- Fem]]+Tabla68[[#This Row],[T2- Fem]]+Tabla68[[#This Row],[T3- Fem]]</f>
        <v>417.79999999999995</v>
      </c>
      <c r="I40" s="41">
        <f>Tabla68[[#This Row],[T1- Mas]]+Tabla68[[#This Row],[T2- Mas]]+Tabla68[[#This Row],[T3- Mas]]</f>
        <v>409.40476190476193</v>
      </c>
    </row>
    <row r="41" spans="1:9" ht="15.75" thickBot="1" x14ac:dyDescent="0.3">
      <c r="B41" s="42" cm="1">
        <f t="array" ref="B41">IF(Tabla68[T1- Fem]/Tabla68[T1- Mas]&gt;1,1-(Tabla68[T1- Mas]/Tabla68[T1- Fem]),1-(Tabla68[T1- Fem]/Tabla68[T1- Mas]))</f>
        <v>0.22646755921730177</v>
      </c>
      <c r="C41" s="44"/>
      <c r="D41" s="42" cm="1">
        <f t="array" ref="D41">IF((Tabla68[T2- Fem]/Tabla68[T2- Mas])&gt;1,1-(Tabla68[T2- Mas]/Tabla68[T2- Fem]),1-(Tabla68[T2- Fem]/Tabla68[T2- Mas]))</f>
        <v>0.29027777777777786</v>
      </c>
      <c r="E41" s="44"/>
      <c r="F41" s="45" cm="1">
        <f t="array" ref="F41">IF((Tabla68[T3- Fem]/Tabla68[T3- Mas])&gt;1,1-(Tabla68[T3- Mas]/Tabla68[T3- Fem]),1-(Tabla68[T3- Fem]/Tabla68[T3- Mas]))</f>
        <v>0.47796934865900387</v>
      </c>
      <c r="G41" s="43"/>
      <c r="H41" s="45" cm="1">
        <f t="array" ref="H41">IF((Tabla68[Total- Fem]/Tabla68[Total- Mas])&gt;=1,1-(Tabla68[Total- Mas]/Tabla68[Total- Fem]),1-(Tabla68[Total- Fem]/Tabla68[Total- Mas]))</f>
        <v>2.0093915977113519E-2</v>
      </c>
      <c r="I41" s="43"/>
    </row>
    <row r="43" spans="1:9" x14ac:dyDescent="0.25">
      <c r="F43" t="s">
        <v>97</v>
      </c>
      <c r="G43" t="s">
        <v>96</v>
      </c>
      <c r="H43" t="s">
        <v>95</v>
      </c>
      <c r="I43" t="s">
        <v>98</v>
      </c>
    </row>
    <row r="44" spans="1:9" x14ac:dyDescent="0.25">
      <c r="F44" t="s">
        <v>12</v>
      </c>
      <c r="G44">
        <v>7</v>
      </c>
      <c r="H44">
        <v>6</v>
      </c>
      <c r="I44" s="38">
        <f>Tabla8[[#This Row],[Exitos]]/Tabla8[[#This Row],[Usuarios]]</f>
        <v>0.8571428571428571</v>
      </c>
    </row>
    <row r="45" spans="1:9" x14ac:dyDescent="0.25">
      <c r="F45" t="s">
        <v>13</v>
      </c>
      <c r="G45">
        <v>5</v>
      </c>
      <c r="H45">
        <v>5</v>
      </c>
      <c r="I45" s="38">
        <f>Tabla8[[#This Row],[Exitos]]/Tabla8[[#This Row],[Usuarios]]</f>
        <v>1</v>
      </c>
    </row>
    <row r="46" spans="1:9" x14ac:dyDescent="0.25">
      <c r="G46" s="38"/>
    </row>
    <row r="47" spans="1:9" x14ac:dyDescent="0.25">
      <c r="G47" s="38"/>
    </row>
  </sheetData>
  <mergeCells count="5">
    <mergeCell ref="A20:C20"/>
    <mergeCell ref="B41:C41"/>
    <mergeCell ref="D41:E41"/>
    <mergeCell ref="F41:G41"/>
    <mergeCell ref="H41:I41"/>
  </mergeCells>
  <phoneticPr fontId="3" type="noConversion"/>
  <pageMargins left="0.7" right="0.7" top="0.75" bottom="0.75" header="0.3" footer="0.3"/>
  <drawing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5"/>
  <sheetViews>
    <sheetView topLeftCell="A4" zoomScale="85" zoomScaleNormal="85" workbookViewId="0">
      <selection activeCell="B4" sqref="B4:C4"/>
    </sheetView>
  </sheetViews>
  <sheetFormatPr baseColWidth="10" defaultRowHeight="15" x14ac:dyDescent="0.25"/>
  <cols>
    <col min="1" max="1" width="12.42578125" customWidth="1"/>
    <col min="2" max="2" width="81" style="1" customWidth="1"/>
  </cols>
  <sheetData>
    <row r="1" spans="1:2" x14ac:dyDescent="0.25">
      <c r="A1" t="s">
        <v>5</v>
      </c>
      <c r="B1" s="1" t="s">
        <v>6</v>
      </c>
    </row>
    <row r="2" spans="1:2" ht="60" x14ac:dyDescent="0.25">
      <c r="A2">
        <v>1</v>
      </c>
      <c r="B2" s="1" t="s">
        <v>25</v>
      </c>
    </row>
    <row r="3" spans="1:2" ht="105" x14ac:dyDescent="0.25">
      <c r="A3">
        <v>2</v>
      </c>
      <c r="B3" s="1" t="s">
        <v>18</v>
      </c>
    </row>
    <row r="4" spans="1:2" ht="150" x14ac:dyDescent="0.25">
      <c r="A4">
        <v>3</v>
      </c>
      <c r="B4" s="1" t="s">
        <v>26</v>
      </c>
    </row>
    <row r="5" spans="1:2" ht="75" x14ac:dyDescent="0.25">
      <c r="A5">
        <v>4</v>
      </c>
      <c r="B5" s="1" t="s">
        <v>99</v>
      </c>
    </row>
    <row r="6" spans="1:2" ht="75" x14ac:dyDescent="0.25">
      <c r="A6">
        <v>5</v>
      </c>
      <c r="B6" s="1" t="s">
        <v>36</v>
      </c>
    </row>
    <row r="7" spans="1:2" ht="135" x14ac:dyDescent="0.25">
      <c r="A7">
        <v>6</v>
      </c>
      <c r="B7" s="1" t="s">
        <v>35</v>
      </c>
    </row>
    <row r="8" spans="1:2" ht="60" x14ac:dyDescent="0.25">
      <c r="A8">
        <v>7</v>
      </c>
      <c r="B8" s="1" t="s">
        <v>47</v>
      </c>
    </row>
    <row r="9" spans="1:2" ht="60" x14ac:dyDescent="0.25">
      <c r="A9">
        <v>8</v>
      </c>
      <c r="B9" s="1" t="s">
        <v>48</v>
      </c>
    </row>
    <row r="10" spans="1:2" ht="135" x14ac:dyDescent="0.25">
      <c r="A10">
        <v>9</v>
      </c>
      <c r="B10" s="1" t="s">
        <v>46</v>
      </c>
    </row>
    <row r="11" spans="1:2" ht="45" x14ac:dyDescent="0.25">
      <c r="A11">
        <v>10</v>
      </c>
      <c r="B11" s="1" t="s">
        <v>58</v>
      </c>
    </row>
    <row r="12" spans="1:2" ht="105" x14ac:dyDescent="0.25">
      <c r="A12">
        <v>11</v>
      </c>
      <c r="B12" s="1" t="s">
        <v>59</v>
      </c>
    </row>
    <row r="13" spans="1:2" ht="60" x14ac:dyDescent="0.25">
      <c r="A13">
        <v>12</v>
      </c>
      <c r="B13" s="1" t="s">
        <v>60</v>
      </c>
    </row>
    <row r="14" spans="1:2" x14ac:dyDescent="0.25">
      <c r="A14">
        <v>13</v>
      </c>
    </row>
    <row r="15" spans="1:2" x14ac:dyDescent="0.25">
      <c r="A15">
        <v>14</v>
      </c>
    </row>
    <row r="16" spans="1:2" x14ac:dyDescent="0.25">
      <c r="A16">
        <v>15</v>
      </c>
    </row>
    <row r="17" spans="1:1" x14ac:dyDescent="0.25">
      <c r="A17">
        <v>16</v>
      </c>
    </row>
    <row r="18" spans="1:1" x14ac:dyDescent="0.25">
      <c r="A18">
        <v>17</v>
      </c>
    </row>
    <row r="19" spans="1:1" x14ac:dyDescent="0.25">
      <c r="A19">
        <v>18</v>
      </c>
    </row>
    <row r="20" spans="1:1" x14ac:dyDescent="0.25">
      <c r="A20">
        <v>19</v>
      </c>
    </row>
    <row r="21" spans="1:1" x14ac:dyDescent="0.25">
      <c r="A21">
        <v>20</v>
      </c>
    </row>
    <row r="22" spans="1:1" x14ac:dyDescent="0.25">
      <c r="A22">
        <v>21</v>
      </c>
    </row>
    <row r="23" spans="1:1" x14ac:dyDescent="0.25">
      <c r="A23">
        <v>22</v>
      </c>
    </row>
    <row r="24" spans="1:1" x14ac:dyDescent="0.25">
      <c r="A24">
        <v>23</v>
      </c>
    </row>
    <row r="25" spans="1:1" x14ac:dyDescent="0.25">
      <c r="A25">
        <v>24</v>
      </c>
    </row>
    <row r="26" spans="1:1" x14ac:dyDescent="0.25">
      <c r="A26">
        <v>25</v>
      </c>
    </row>
    <row r="27" spans="1:1" x14ac:dyDescent="0.25">
      <c r="A27">
        <v>26</v>
      </c>
    </row>
    <row r="28" spans="1:1" x14ac:dyDescent="0.25">
      <c r="A28">
        <v>27</v>
      </c>
    </row>
    <row r="29" spans="1:1" x14ac:dyDescent="0.25">
      <c r="A29">
        <v>28</v>
      </c>
    </row>
    <row r="30" spans="1:1" x14ac:dyDescent="0.25">
      <c r="A30">
        <v>29</v>
      </c>
    </row>
    <row r="31" spans="1:1" x14ac:dyDescent="0.25">
      <c r="A31">
        <v>30</v>
      </c>
    </row>
    <row r="32" spans="1:1" x14ac:dyDescent="0.25">
      <c r="A32">
        <v>31</v>
      </c>
    </row>
    <row r="33" spans="1:1" x14ac:dyDescent="0.25">
      <c r="A33">
        <v>32</v>
      </c>
    </row>
    <row r="34" spans="1:1" x14ac:dyDescent="0.25">
      <c r="A34">
        <v>33</v>
      </c>
    </row>
    <row r="35" spans="1:1" x14ac:dyDescent="0.25">
      <c r="A35">
        <v>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Usuarios</vt:lpstr>
      <vt:lpstr>Test</vt:lpstr>
      <vt:lpstr>Analisis</vt:lpstr>
      <vt:lpstr>Observaciones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Martínez Menéndez</dc:creator>
  <cp:lastModifiedBy>Diego Martínez Menéndez</cp:lastModifiedBy>
  <dcterms:created xsi:type="dcterms:W3CDTF">2025-12-09T10:10:33Z</dcterms:created>
  <dcterms:modified xsi:type="dcterms:W3CDTF">2026-06-08T19:16:37Z</dcterms:modified>
</cp:coreProperties>
</file>